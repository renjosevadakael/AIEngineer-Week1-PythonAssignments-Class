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lide deck\Python\"/>
    </mc:Choice>
  </mc:AlternateContent>
  <bookViews>
    <workbookView xWindow="0" yWindow="0" windowWidth="19200" windowHeight="7190" activeTab="13"/>
  </bookViews>
  <sheets>
    <sheet name="IQR" sheetId="4" r:id="rId1"/>
    <sheet name="StandardScaler" sheetId="1" r:id="rId2"/>
    <sheet name="MinMaxScaler" sheetId="2" r:id="rId3"/>
    <sheet name="RobustScaler" sheetId="3" r:id="rId4"/>
    <sheet name="Comparisions" sheetId="5" r:id="rId5"/>
    <sheet name="Z-Scores" sheetId="6" r:id="rId6"/>
    <sheet name="Linear Regression" sheetId="7" r:id="rId7"/>
    <sheet name="MSE_R2_Explanation" sheetId="8" r:id="rId8"/>
    <sheet name="MSE_R2" sheetId="9" r:id="rId9"/>
    <sheet name="Multiple Linear Regression" sheetId="10" r:id="rId10"/>
    <sheet name="Polynomial Regression" sheetId="11" r:id="rId11"/>
    <sheet name="Degree of polynomial" sheetId="12" r:id="rId12"/>
    <sheet name="Ridge Regression" sheetId="16" r:id="rId13"/>
    <sheet name="Ridge Regression Numerical" sheetId="17" r:id="rId14"/>
    <sheet name="Outliers" sheetId="14" r:id="rId15"/>
    <sheet name="Variables" sheetId="15" r:id="rId16"/>
    <sheet name="Daatstructures" sheetId="13" r:id="rId17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71" i="11" l="1"/>
  <c r="L59" i="11"/>
  <c r="L61" i="11"/>
  <c r="L60" i="11"/>
  <c r="H29" i="11"/>
  <c r="J22" i="11"/>
  <c r="D27" i="11"/>
  <c r="F6" i="11"/>
  <c r="F5" i="11"/>
  <c r="O35" i="17"/>
  <c r="O34" i="17"/>
  <c r="H37" i="17"/>
  <c r="H36" i="17"/>
  <c r="L29" i="17"/>
  <c r="L28" i="17"/>
  <c r="K29" i="17"/>
  <c r="F26" i="17"/>
  <c r="K28" i="17" s="1"/>
  <c r="M17" i="17"/>
  <c r="M16" i="17"/>
  <c r="K18" i="17"/>
  <c r="J18" i="17"/>
  <c r="K17" i="17"/>
  <c r="J17" i="17"/>
  <c r="H49" i="10"/>
  <c r="K27" i="10"/>
  <c r="K26" i="10"/>
  <c r="K25" i="10"/>
  <c r="P20" i="17" l="1"/>
  <c r="Q24" i="17" s="1"/>
  <c r="E75" i="11"/>
  <c r="E66" i="11"/>
  <c r="E65" i="11"/>
  <c r="E64" i="11"/>
  <c r="E78" i="11"/>
  <c r="E77" i="11"/>
  <c r="E76" i="11"/>
  <c r="T36" i="11"/>
  <c r="T33" i="11"/>
  <c r="T29" i="11"/>
  <c r="N36" i="11"/>
  <c r="H36" i="11"/>
  <c r="H33" i="11"/>
  <c r="N29" i="11"/>
  <c r="Q23" i="17" l="1"/>
  <c r="P23" i="17"/>
  <c r="P24" i="17"/>
  <c r="N33" i="11"/>
  <c r="H8" i="11"/>
  <c r="H7" i="11"/>
  <c r="H6" i="11"/>
  <c r="H5" i="11"/>
  <c r="H9" i="11" s="1"/>
  <c r="G8" i="11"/>
  <c r="G7" i="11"/>
  <c r="G6" i="11"/>
  <c r="G5" i="11"/>
  <c r="E8" i="11"/>
  <c r="F8" i="11" s="1"/>
  <c r="E7" i="11"/>
  <c r="F7" i="11" s="1"/>
  <c r="E6" i="11"/>
  <c r="E5" i="11"/>
  <c r="D8" i="11"/>
  <c r="D7" i="11"/>
  <c r="D6" i="11"/>
  <c r="D5" i="11"/>
  <c r="D9" i="11" s="1"/>
  <c r="C9" i="11"/>
  <c r="B9" i="11"/>
  <c r="G98" i="10"/>
  <c r="G86" i="10"/>
  <c r="H56" i="10"/>
  <c r="H53" i="10"/>
  <c r="H32" i="10"/>
  <c r="G97" i="10"/>
  <c r="G88" i="10"/>
  <c r="G87" i="10"/>
  <c r="T56" i="10"/>
  <c r="L27" i="10"/>
  <c r="N53" i="10"/>
  <c r="E46" i="10"/>
  <c r="N49" i="10"/>
  <c r="T49" i="10"/>
  <c r="T53" i="10"/>
  <c r="N56" i="10"/>
  <c r="H34" i="10"/>
  <c r="H33" i="10"/>
  <c r="J27" i="10"/>
  <c r="L26" i="10"/>
  <c r="J26" i="10"/>
  <c r="J25" i="10"/>
  <c r="L25" i="10"/>
  <c r="F9" i="11" l="1"/>
  <c r="G9" i="11"/>
  <c r="E9" i="11"/>
  <c r="I23" i="7"/>
  <c r="H7" i="9"/>
  <c r="I7" i="9" s="1"/>
  <c r="H6" i="9"/>
  <c r="I6" i="9" s="1"/>
  <c r="H5" i="9"/>
  <c r="I5" i="9" s="1"/>
  <c r="D5" i="9"/>
  <c r="E5" i="9" s="1"/>
  <c r="D4" i="9"/>
  <c r="E4" i="9" s="1"/>
  <c r="D3" i="9"/>
  <c r="E3" i="9" s="1"/>
  <c r="B8" i="9"/>
  <c r="H8" i="9" s="1"/>
  <c r="I8" i="9" s="1"/>
  <c r="B7" i="9"/>
  <c r="D7" i="9" s="1"/>
  <c r="E7" i="9" s="1"/>
  <c r="B6" i="9"/>
  <c r="D6" i="9" s="1"/>
  <c r="E6" i="9" s="1"/>
  <c r="B5" i="9"/>
  <c r="B4" i="9"/>
  <c r="H4" i="9" s="1"/>
  <c r="I4" i="9" s="1"/>
  <c r="B3" i="9"/>
  <c r="B9" i="9" s="1"/>
  <c r="D14" i="3"/>
  <c r="F9" i="3" s="1"/>
  <c r="E13" i="2"/>
  <c r="F6" i="9" l="1"/>
  <c r="G6" i="9" s="1"/>
  <c r="F5" i="9"/>
  <c r="G5" i="9" s="1"/>
  <c r="F3" i="9"/>
  <c r="F4" i="9"/>
  <c r="G4" i="9" s="1"/>
  <c r="D8" i="9"/>
  <c r="E8" i="9" s="1"/>
  <c r="E9" i="9" s="1"/>
  <c r="F7" i="9"/>
  <c r="G7" i="9" s="1"/>
  <c r="H3" i="9"/>
  <c r="F8" i="9"/>
  <c r="G8" i="9" s="1"/>
  <c r="F7" i="3"/>
  <c r="F8" i="3"/>
  <c r="D30" i="7"/>
  <c r="D29" i="7"/>
  <c r="D28" i="7"/>
  <c r="D27" i="7"/>
  <c r="D26" i="7"/>
  <c r="D25" i="7"/>
  <c r="C11" i="7"/>
  <c r="E6" i="7" s="1"/>
  <c r="C10" i="7"/>
  <c r="B11" i="7"/>
  <c r="B10" i="7"/>
  <c r="D6" i="7" l="1"/>
  <c r="D2" i="7"/>
  <c r="D5" i="7"/>
  <c r="D3" i="7"/>
  <c r="H9" i="9"/>
  <c r="I3" i="9"/>
  <c r="I9" i="9" s="1"/>
  <c r="D4" i="7"/>
  <c r="E2" i="7"/>
  <c r="E3" i="7"/>
  <c r="E4" i="7"/>
  <c r="G3" i="9"/>
  <c r="G9" i="9" s="1"/>
  <c r="G11" i="9" s="1"/>
  <c r="F9" i="9"/>
  <c r="E5" i="7"/>
  <c r="G20" i="7"/>
  <c r="B13" i="1"/>
  <c r="D8" i="1" s="1"/>
  <c r="F8" i="1" s="1"/>
  <c r="D19" i="4"/>
  <c r="D18" i="4"/>
  <c r="E13" i="4"/>
  <c r="E19" i="4" s="1"/>
  <c r="D13" i="4"/>
  <c r="E14" i="3"/>
  <c r="G9" i="2"/>
  <c r="D13" i="2"/>
  <c r="C13" i="1"/>
  <c r="E6" i="1" s="1"/>
  <c r="G6" i="1" s="1"/>
  <c r="C11" i="1"/>
  <c r="B11" i="1"/>
  <c r="E18" i="4" l="1"/>
  <c r="G5" i="7"/>
  <c r="F5" i="7"/>
  <c r="F9" i="2"/>
  <c r="F7" i="2"/>
  <c r="F8" i="2"/>
  <c r="F3" i="7"/>
  <c r="G3" i="7"/>
  <c r="D7" i="1"/>
  <c r="G2" i="7"/>
  <c r="F2" i="7"/>
  <c r="F4" i="7"/>
  <c r="G4" i="7"/>
  <c r="D6" i="1"/>
  <c r="F6" i="1" s="1"/>
  <c r="F11" i="1" s="1"/>
  <c r="F12" i="1" s="1"/>
  <c r="E7" i="1"/>
  <c r="G7" i="1" s="1"/>
  <c r="G9" i="3"/>
  <c r="G8" i="3"/>
  <c r="G7" i="3"/>
  <c r="E8" i="1"/>
  <c r="G8" i="1" s="1"/>
  <c r="F6" i="7"/>
  <c r="G6" i="7"/>
  <c r="G7" i="2"/>
  <c r="G8" i="2"/>
  <c r="F7" i="1"/>
  <c r="H6" i="1" l="1"/>
  <c r="H8" i="1"/>
  <c r="H7" i="1"/>
  <c r="F7" i="7"/>
  <c r="F10" i="7" s="1"/>
  <c r="G7" i="7"/>
  <c r="F11" i="7" s="1"/>
  <c r="G11" i="1"/>
  <c r="G12" i="1" s="1"/>
  <c r="I8" i="1" l="1"/>
  <c r="I6" i="1"/>
  <c r="I7" i="1"/>
</calcChain>
</file>

<file path=xl/sharedStrings.xml><?xml version="1.0" encoding="utf-8"?>
<sst xmlns="http://schemas.openxmlformats.org/spreadsheetml/2006/main" count="475" uniqueCount="303">
  <si>
    <t>([[1, 2], [3, 4], [5, 6]])</t>
  </si>
  <si>
    <t>Mean U</t>
  </si>
  <si>
    <t>Feature 1</t>
  </si>
  <si>
    <t>Feature 2</t>
  </si>
  <si>
    <t>Diff (Feature 1 - Mean)</t>
  </si>
  <si>
    <t>Diff (Feature 2 - Mean)</t>
  </si>
  <si>
    <t>Sq (Diff (Feature 1 - Mean))</t>
  </si>
  <si>
    <t>Sq (Diff (Feature 2 - Mean))</t>
  </si>
  <si>
    <t>Sum of Features</t>
  </si>
  <si>
    <t>Variance = (Sum of sq of differene / Number of elements in feature)</t>
  </si>
  <si>
    <t>Count of Elements in features</t>
  </si>
  <si>
    <t>z = (x - u) / s</t>
  </si>
  <si>
    <t>Standard Scaler Data Preprocessing</t>
  </si>
  <si>
    <t>Feature Data Set</t>
  </si>
  <si>
    <t>Xmin</t>
  </si>
  <si>
    <t>Xmax</t>
  </si>
  <si>
    <t>MinMax Scaler Data Preprocessing</t>
  </si>
  <si>
    <t>Xmax-Xmin</t>
  </si>
  <si>
    <t>Median</t>
  </si>
  <si>
    <t>Robust Scaler Data Preprocessing</t>
  </si>
  <si>
    <t>25th Percentile</t>
  </si>
  <si>
    <t>75th Percentile</t>
  </si>
  <si>
    <t>IQR</t>
  </si>
  <si>
    <t>Feature1 Scaled</t>
  </si>
  <si>
    <t>Feature2 Scaled</t>
  </si>
  <si>
    <t>MinMaxScaler</t>
  </si>
  <si>
    <t>RobustScaler</t>
  </si>
  <si>
    <t>✅</t>
  </si>
  <si>
    <t>❌</t>
  </si>
  <si>
    <t>Uses Mean/Std</t>
  </si>
  <si>
    <t>Uses Min/Max</t>
  </si>
  <si>
    <t>Scaler</t>
  </si>
  <si>
    <t>Uses Median/IQR</t>
  </si>
  <si>
    <t>Sensitive to Outliers</t>
  </si>
  <si>
    <t>Output Range</t>
  </si>
  <si>
    <t>Unbounded</t>
  </si>
  <si>
    <t>[0, 1]</t>
  </si>
  <si>
    <t>StandardScaler</t>
  </si>
  <si>
    <t>lower_bound = Q1 - 1.5 * IQR</t>
  </si>
  <si>
    <t>upper_bound = Q3 + 1.5 * IQR</t>
  </si>
  <si>
    <t xml:space="preserve">lower_bound </t>
  </si>
  <si>
    <t xml:space="preserve">upper_bound </t>
  </si>
  <si>
    <t>Standard Deviation (S) = Sqrt(Variance)</t>
  </si>
  <si>
    <t>Scaled Training Data:</t>
  </si>
  <si>
    <t xml:space="preserve"> [[-1.22474487 -1.22474487]</t>
  </si>
  <si>
    <t xml:space="preserve"> [ 0.          0.        ]</t>
  </si>
  <si>
    <t xml:space="preserve"> [ 1.22474487  1.22474487]]</t>
  </si>
  <si>
    <t>X</t>
  </si>
  <si>
    <t>Y</t>
  </si>
  <si>
    <t>̅̅̅</t>
  </si>
  <si>
    <t>Xi - X̅</t>
  </si>
  <si>
    <t>Yi - Y̅</t>
  </si>
  <si>
    <t/>
  </si>
  <si>
    <t>(Xi - X̅)*( Yi - Y̅)</t>
  </si>
  <si>
    <t>Sum((Xi - X̅)*( Yi - Y̅))</t>
  </si>
  <si>
    <t>(Xi - X̅)^2</t>
  </si>
  <si>
    <t>Sum((Xi - X̅)^2)</t>
  </si>
  <si>
    <t>m = 6/10</t>
  </si>
  <si>
    <t>m</t>
  </si>
  <si>
    <t>b=4-(0.6)*3</t>
  </si>
  <si>
    <t>b</t>
  </si>
  <si>
    <t xml:space="preserve">Function equation is </t>
  </si>
  <si>
    <t>Y = mX+C</t>
  </si>
  <si>
    <t>Y = 0.6X+2.2</t>
  </si>
  <si>
    <t>📐 Mean Squared Error (MSE):</t>
  </si>
  <si>
    <t>MSE=0.48\text{MSE} = 0.48MSE=0.48</t>
  </si>
  <si>
    <t>Measures the average squared difference between actual and predicted values.</t>
  </si>
  <si>
    <t>Lower is better; 0 means perfect prediction.</t>
  </si>
  <si>
    <t>📊 R² Score (Coefficient of Determination):</t>
  </si>
  <si>
    <t>R2=0.60R^2 = 0.60R2=0.60</t>
  </si>
  <si>
    <t>Indicates how well the model explains the variability of the target variable.</t>
  </si>
  <si>
    <t>Ranges from 0 to 1:</t>
  </si>
  <si>
    <r>
      <t>1</t>
    </r>
    <r>
      <rPr>
        <sz val="11"/>
        <color theme="1"/>
        <rFont val="Calibri"/>
        <family val="2"/>
        <scheme val="minor"/>
      </rPr>
      <t xml:space="preserve"> = perfect fit</t>
    </r>
  </si>
  <si>
    <r>
      <t>0</t>
    </r>
    <r>
      <rPr>
        <sz val="11"/>
        <color theme="1"/>
        <rFont val="Calibri"/>
        <family val="2"/>
        <scheme val="minor"/>
      </rPr>
      <t xml:space="preserve"> = no explanatory power</t>
    </r>
  </si>
  <si>
    <r>
      <t>0.60</t>
    </r>
    <r>
      <rPr>
        <sz val="11"/>
        <color theme="1"/>
        <rFont val="Calibri"/>
        <family val="2"/>
        <scheme val="minor"/>
      </rPr>
      <t xml:space="preserve"> means </t>
    </r>
    <r>
      <rPr>
        <b/>
        <sz val="11"/>
        <color theme="1"/>
        <rFont val="Calibri"/>
        <family val="2"/>
        <scheme val="minor"/>
      </rPr>
      <t>60% of the variance</t>
    </r>
    <r>
      <rPr>
        <sz val="11"/>
        <color theme="1"/>
        <rFont val="Calibri"/>
        <family val="2"/>
        <scheme val="minor"/>
      </rPr>
      <t xml:space="preserve"> in Y is explained by X.</t>
    </r>
  </si>
  <si>
    <t>X Scaled Feature 1</t>
  </si>
  <si>
    <t>X Scaled Feature 2</t>
  </si>
  <si>
    <t>Original Training Data:</t>
  </si>
  <si>
    <t xml:space="preserve"> [[1 2]</t>
  </si>
  <si>
    <t xml:space="preserve"> [3 4]</t>
  </si>
  <si>
    <t xml:space="preserve"> [5 6]]</t>
  </si>
  <si>
    <t xml:space="preserve"> [[0.  0. ]</t>
  </si>
  <si>
    <t xml:space="preserve"> [0.5 0.5]</t>
  </si>
  <si>
    <t xml:space="preserve"> [1.  1. ]]</t>
  </si>
  <si>
    <t>Fit</t>
  </si>
  <si>
    <t xml:space="preserve"> [[-1. -1.]</t>
  </si>
  <si>
    <t xml:space="preserve"> [ 0.  0.]</t>
  </si>
  <si>
    <t xml:space="preserve"> [ 1.  1.]]</t>
  </si>
  <si>
    <t>Actual (Y)</t>
  </si>
  <si>
    <t>Predicted (Z)</t>
  </si>
  <si>
    <t>Error (Y-Z)</t>
  </si>
  <si>
    <t>Squared Error</t>
  </si>
  <si>
    <t>MSE</t>
  </si>
  <si>
    <t>R Sqaure</t>
  </si>
  <si>
    <t xml:space="preserve"> 1 - RSS/TSS</t>
  </si>
  <si>
    <t>(Y-Avg(Y)</t>
  </si>
  <si>
    <t>(Y - Z)</t>
  </si>
  <si>
    <t>RSS (Y - Z)^2</t>
  </si>
  <si>
    <t>TSS (Y-Avg(Y)^2</t>
  </si>
  <si>
    <t>R Square</t>
  </si>
  <si>
    <t>x₀ (Intercept)</t>
  </si>
  <si>
    <t>x₁</t>
  </si>
  <si>
    <t>x₂</t>
  </si>
  <si>
    <t>y</t>
  </si>
  <si>
    <t>x1 and x2 are independent Variables</t>
  </si>
  <si>
    <t>=</t>
  </si>
  <si>
    <t xml:space="preserve">X </t>
  </si>
  <si>
    <t xml:space="preserve">Step 1: Compute </t>
  </si>
  <si>
    <t>Step 2: Compute</t>
  </si>
  <si>
    <t>Step 3: Compute</t>
  </si>
  <si>
    <t>Find the determinant of A</t>
  </si>
  <si>
    <t>A =</t>
  </si>
  <si>
    <t>det (A)</t>
  </si>
  <si>
    <t>det(A)=3(14X21−16X16)−6(6X21−16X7)+7(6X16−14X7)</t>
  </si>
  <si>
    <t>C11</t>
  </si>
  <si>
    <t>C11=</t>
  </si>
  <si>
    <t>det</t>
  </si>
  <si>
    <t>C12</t>
  </si>
  <si>
    <t>C21=</t>
  </si>
  <si>
    <t>C22</t>
  </si>
  <si>
    <t>C23</t>
  </si>
  <si>
    <t>C13</t>
  </si>
  <si>
    <t>C22=</t>
  </si>
  <si>
    <t>C23=</t>
  </si>
  <si>
    <t>C31=</t>
  </si>
  <si>
    <t>C32=</t>
  </si>
  <si>
    <t>C33=</t>
  </si>
  <si>
    <t>38/16</t>
  </si>
  <si>
    <t>14/16</t>
  </si>
  <si>
    <t>6/16</t>
  </si>
  <si>
    <t>-2/16</t>
  </si>
  <si>
    <t>-14/16</t>
  </si>
  <si>
    <t>-6/16</t>
  </si>
  <si>
    <t>A inverse</t>
  </si>
  <si>
    <r>
      <t xml:space="preserve">The adjugate matrix is the transpose of </t>
    </r>
    <r>
      <rPr>
        <sz val="11"/>
        <color theme="1"/>
        <rFont val="Arial"/>
        <family val="2"/>
      </rPr>
      <t>C</t>
    </r>
    <r>
      <rPr>
        <sz val="11"/>
        <color theme="1"/>
        <rFont val="Calibri"/>
        <family val="2"/>
        <scheme val="minor"/>
      </rPr>
      <t xml:space="preserve">. Since </t>
    </r>
    <r>
      <rPr>
        <sz val="11"/>
        <color theme="1"/>
        <rFont val="Arial"/>
        <family val="2"/>
      </rPr>
      <t>C</t>
    </r>
    <r>
      <rPr>
        <sz val="11"/>
        <color theme="1"/>
        <rFont val="Calibri"/>
        <family val="2"/>
        <scheme val="minor"/>
      </rPr>
      <t xml:space="preserve"> is symmetric, </t>
    </r>
    <r>
      <rPr>
        <sz val="11"/>
        <color theme="1"/>
        <rFont val="Arial"/>
        <family val="2"/>
      </rPr>
      <t>C^T = C</t>
    </r>
  </si>
  <si>
    <t>y = 1 + 3 * 1 + 2</t>
  </si>
  <si>
    <t>x1</t>
  </si>
  <si>
    <t>x2</t>
  </si>
  <si>
    <t xml:space="preserve">Output Verification </t>
  </si>
  <si>
    <t>3X3</t>
  </si>
  <si>
    <t>3X1</t>
  </si>
  <si>
    <t>X Transpose</t>
  </si>
  <si>
    <t>3 X 3</t>
  </si>
  <si>
    <t>3 X 1</t>
  </si>
  <si>
    <t>Cofactors</t>
  </si>
  <si>
    <t>C21</t>
  </si>
  <si>
    <t>C31</t>
  </si>
  <si>
    <t>C32</t>
  </si>
  <si>
    <t>C33</t>
  </si>
  <si>
    <t>C12=</t>
  </si>
  <si>
    <t>C13=</t>
  </si>
  <si>
    <t>Cofactor C =</t>
  </si>
  <si>
    <t>Reference</t>
  </si>
  <si>
    <t>1/det(A)</t>
  </si>
  <si>
    <t>(adj(a))</t>
  </si>
  <si>
    <t>zzzzzzzzzzzzzzzzzd</t>
  </si>
  <si>
    <t>xi</t>
  </si>
  <si>
    <t>yi</t>
  </si>
  <si>
    <t>xiyi</t>
  </si>
  <si>
    <t>xi^2</t>
  </si>
  <si>
    <t>xi^3</t>
  </si>
  <si>
    <t>xi^4</t>
  </si>
  <si>
    <t>Σxi=10</t>
  </si>
  <si>
    <t>Σyi=29</t>
  </si>
  <si>
    <t>Σxiyi=96</t>
  </si>
  <si>
    <t>xi^2.y</t>
  </si>
  <si>
    <t>Σxi^2.y=338</t>
  </si>
  <si>
    <t>Σxi^4=354</t>
  </si>
  <si>
    <t>Σxi^3=100</t>
  </si>
  <si>
    <t>n</t>
  </si>
  <si>
    <t>Σxi</t>
  </si>
  <si>
    <t>Σxi^2</t>
  </si>
  <si>
    <t>Σxi^3</t>
  </si>
  <si>
    <t>Σxi^4</t>
  </si>
  <si>
    <t>X=</t>
  </si>
  <si>
    <t>B=</t>
  </si>
  <si>
    <t>Σyi</t>
  </si>
  <si>
    <t>Σxiyi</t>
  </si>
  <si>
    <t>Σxi^2.y</t>
  </si>
  <si>
    <t>det(X)=</t>
  </si>
  <si>
    <t>620/80</t>
  </si>
  <si>
    <t>100/80</t>
  </si>
  <si>
    <t>-540/80</t>
  </si>
  <si>
    <t>516/80</t>
  </si>
  <si>
    <t>-100/80</t>
  </si>
  <si>
    <t>20/80</t>
  </si>
  <si>
    <t>a=</t>
  </si>
  <si>
    <t>a =</t>
  </si>
  <si>
    <t xml:space="preserve">X inverse </t>
  </si>
  <si>
    <t>X inverse</t>
  </si>
  <si>
    <t>1/det(X)</t>
  </si>
  <si>
    <t>(adj(X))</t>
  </si>
  <si>
    <t>- 0.75 + 0.95 X + 0.75 X^2</t>
  </si>
  <si>
    <t>Verify</t>
  </si>
  <si>
    <t xml:space="preserve">Y </t>
  </si>
  <si>
    <t>- 0.75 + 0.95 * 2 + 0.75 * 2^2</t>
  </si>
  <si>
    <t>Rounded Off nearest whole number</t>
  </si>
  <si>
    <t>x^2+2x+1=0</t>
  </si>
  <si>
    <t>-b+/-sqrt(b^2-4ac)/2a</t>
  </si>
  <si>
    <t>(x+1)(x+1)</t>
  </si>
  <si>
    <t>x = -1, -1</t>
  </si>
  <si>
    <t>1-2+1</t>
  </si>
  <si>
    <t>x^2+x+X+1=0</t>
  </si>
  <si>
    <t>x(X+1)+(X+1)=0</t>
  </si>
  <si>
    <t>(X+1)(X+1)=0</t>
  </si>
  <si>
    <t>degree - 2</t>
  </si>
  <si>
    <t>x^3+2x^2+x+3</t>
  </si>
  <si>
    <t>degree - 3</t>
  </si>
  <si>
    <t>x^3+3</t>
  </si>
  <si>
    <t>m is slope</t>
  </si>
  <si>
    <t>c is intercept</t>
  </si>
  <si>
    <t>Data</t>
  </si>
  <si>
    <t>Address</t>
  </si>
  <si>
    <t>Node1</t>
  </si>
  <si>
    <t>NULL</t>
  </si>
  <si>
    <t>Node2</t>
  </si>
  <si>
    <t>Node3</t>
  </si>
  <si>
    <t>Linked List</t>
  </si>
  <si>
    <t>Head</t>
  </si>
  <si>
    <t>Tail</t>
  </si>
  <si>
    <t>T</t>
  </si>
  <si>
    <t>E</t>
  </si>
  <si>
    <t>S</t>
  </si>
  <si>
    <t>Memory Address</t>
  </si>
  <si>
    <t>Binary Tree</t>
  </si>
  <si>
    <t xml:space="preserve">Ordered Binary Tree </t>
  </si>
  <si>
    <t>Queue</t>
  </si>
  <si>
    <t>Stack</t>
  </si>
  <si>
    <t>Marks</t>
  </si>
  <si>
    <t>a</t>
  </si>
  <si>
    <t>city</t>
  </si>
  <si>
    <t>age</t>
  </si>
  <si>
    <t>chennai</t>
  </si>
  <si>
    <t>Variables</t>
  </si>
  <si>
    <t>Values</t>
  </si>
  <si>
    <t>objects instantiated to a datatype class</t>
  </si>
  <si>
    <t>Values are stored for those instances</t>
  </si>
  <si>
    <t>string</t>
  </si>
  <si>
    <t>integer</t>
  </si>
  <si>
    <t>Class</t>
  </si>
  <si>
    <t>object</t>
  </si>
  <si>
    <t>name</t>
  </si>
  <si>
    <t>Testleaf</t>
  </si>
  <si>
    <t>Test Leaf</t>
  </si>
  <si>
    <t>Ridge Regression</t>
  </si>
  <si>
    <t>β = coefficients (p×1)</t>
  </si>
  <si>
    <t>y= target vector (n×1)</t>
  </si>
  <si>
    <t>X = feature matrix (n×p)</t>
  </si>
  <si>
    <t>Standard Linear Regression Model</t>
  </si>
  <si>
    <r>
      <t xml:space="preserve">The </t>
    </r>
    <r>
      <rPr>
        <b/>
        <sz val="14"/>
        <color theme="1"/>
        <rFont val="Segoe UI"/>
        <family val="2"/>
      </rPr>
      <t>ordinary least squares (OLS)</t>
    </r>
    <r>
      <rPr>
        <sz val="14"/>
        <color theme="1"/>
        <rFont val="Segoe UI"/>
        <family val="2"/>
      </rPr>
      <t xml:space="preserve"> objective is:</t>
    </r>
  </si>
  <si>
    <t>Minimize J(β)=∥y−Xβ∥^2</t>
  </si>
  <si>
    <t>2. Ridge Regression Objective</t>
  </si>
  <si>
    <t>Ridge regression adds a penalty term to shrink coefficients:</t>
  </si>
  <si>
    <t>J(β)=∥y−Xβ∥^2+λ∥β∥^2</t>
  </si>
  <si>
    <t>This discourages large coefficients.</t>
  </si>
  <si>
    <t>∥y−Xβ∥^2 means the squared Euclidean norm of the vector</t>
  </si>
  <si>
    <t>For any vector v, ∥v∥^2=vTv</t>
  </si>
  <si>
    <t>Add the regularisation term</t>
  </si>
  <si>
    <t>Full ridge regression objective</t>
  </si>
  <si>
    <t>Y=</t>
  </si>
  <si>
    <t>λ = 1</t>
  </si>
  <si>
    <t xml:space="preserve">         =</t>
  </si>
  <si>
    <t>+</t>
  </si>
  <si>
    <t xml:space="preserve">     +</t>
  </si>
  <si>
    <t xml:space="preserve">              =</t>
  </si>
  <si>
    <t xml:space="preserve">                            =</t>
  </si>
  <si>
    <t>det(          )</t>
  </si>
  <si>
    <t>The intercept shrank from 0.6667 → 0.375</t>
  </si>
  <si>
    <t>The slope slightly increased from 0.5 → 0.5833</t>
  </si>
  <si>
    <t xml:space="preserve">This can happen depending on the correlation structure of X and y. </t>
  </si>
  <si>
    <t>Ridge shrinks the parameter vector toward zero, but the relative trade-off between parameters depends on the geometry of X.</t>
  </si>
  <si>
    <t>Y = Xbeta</t>
  </si>
  <si>
    <t>Operators</t>
  </si>
  <si>
    <t>c = a + b</t>
  </si>
  <si>
    <t>Assignment statement</t>
  </si>
  <si>
    <t>Assignment Operator</t>
  </si>
  <si>
    <t>Arithemetic / Mathematical</t>
  </si>
  <si>
    <t>a , b</t>
  </si>
  <si>
    <t>Operands</t>
  </si>
  <si>
    <t>a++</t>
  </si>
  <si>
    <t>a = 2</t>
  </si>
  <si>
    <t>b = 4</t>
  </si>
  <si>
    <t>c</t>
  </si>
  <si>
    <t>a+=3</t>
  </si>
  <si>
    <t>a = a+3</t>
  </si>
  <si>
    <t>a=5</t>
  </si>
  <si>
    <t>a = 8</t>
  </si>
  <si>
    <t xml:space="preserve">a = 5 + 3 </t>
  </si>
  <si>
    <t>input(text)</t>
  </si>
  <si>
    <t>{</t>
  </si>
  <si>
    <t>}</t>
  </si>
  <si>
    <t>Ram</t>
  </si>
  <si>
    <t>convar1 =</t>
  </si>
  <si>
    <t xml:space="preserve">consolvar2= </t>
  </si>
  <si>
    <t>return consvar1</t>
  </si>
  <si>
    <t>Typecast</t>
  </si>
  <si>
    <t>Type convert</t>
  </si>
  <si>
    <t>int(string)</t>
  </si>
  <si>
    <t>string is converted to integer</t>
  </si>
  <si>
    <t>if (a&lt;3)</t>
  </si>
  <si>
    <t>a = 1</t>
  </si>
  <si>
    <t>QE</t>
  </si>
  <si>
    <t>Σxi^2=30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</si>
</sst>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0000"/>
    <numFmt numFmtId="165" formatCode="0.0000"/>
    <numFmt numFmtId="177" formatCode="0.000"/>
  </numFmts>
  <fonts count="2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FF0000"/>
      <name val="Consolas"/>
      <family val="3"/>
    </font>
    <font>
      <sz val="11"/>
      <color theme="1"/>
      <name val="Arial"/>
      <family val="2"/>
    </font>
    <font>
      <sz val="16"/>
      <color theme="9" tint="-0.499984740745262"/>
      <name val="Cambria"/>
      <family val="1"/>
    </font>
    <font>
      <sz val="14"/>
      <color theme="8" tint="-0.499984740745262"/>
      <name val="Consolas"/>
      <family val="3"/>
    </font>
    <font>
      <b/>
      <sz val="11"/>
      <color theme="9" tint="-0.499984740745262"/>
      <name val="Cambria"/>
      <family val="1"/>
    </font>
    <font>
      <b/>
      <sz val="22"/>
      <color theme="9" tint="-0.499984740745262"/>
      <name val="Cambria"/>
      <family val="1"/>
    </font>
    <font>
      <b/>
      <sz val="10"/>
      <color rgb="FFFF0000"/>
      <name val="Consolas"/>
      <family val="3"/>
    </font>
    <font>
      <sz val="12"/>
      <color theme="8" tint="-0.499984740745262"/>
      <name val="Consolas"/>
      <family val="3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8"/>
      <color rgb="FF5C4E3D"/>
      <name val="Libre Baskerville"/>
    </font>
    <font>
      <sz val="11"/>
      <name val="Calibri"/>
      <family val="2"/>
      <scheme val="minor"/>
    </font>
    <font>
      <sz val="11"/>
      <color theme="1"/>
      <name val="Segoe UI"/>
      <family val="2"/>
    </font>
    <font>
      <sz val="12"/>
      <color theme="1"/>
      <name val="Segoe UI"/>
      <family val="2"/>
    </font>
    <font>
      <sz val="14"/>
      <color theme="1"/>
      <name val="Segoe UI"/>
      <family val="2"/>
    </font>
    <font>
      <b/>
      <sz val="14"/>
      <color theme="1"/>
      <name val="Segoe UI"/>
      <family val="2"/>
    </font>
    <font>
      <sz val="14"/>
      <color theme="1"/>
      <name val="Calibri"/>
      <family val="2"/>
      <scheme val="minor"/>
    </font>
    <font>
      <b/>
      <sz val="13.5"/>
      <color theme="1"/>
      <name val="Segoe UI"/>
      <family val="2"/>
    </font>
    <font>
      <sz val="14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3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3" fillId="0" borderId="0" xfId="0" applyFont="1"/>
    <xf numFmtId="0" fontId="5" fillId="0" borderId="0" xfId="0" applyFont="1" applyAlignment="1">
      <alignment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3" xfId="0" applyBorder="1"/>
    <xf numFmtId="0" fontId="0" fillId="0" borderId="16" xfId="0" applyBorder="1"/>
    <xf numFmtId="0" fontId="2" fillId="0" borderId="2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1" fillId="0" borderId="1" xfId="0" applyFont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5" fillId="0" borderId="0" xfId="0" applyFont="1" applyBorder="1" applyAlignment="1">
      <alignment vertical="center"/>
    </xf>
    <xf numFmtId="0" fontId="0" fillId="0" borderId="0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165" fontId="0" fillId="0" borderId="0" xfId="0" applyNumberFormat="1" applyBorder="1"/>
    <xf numFmtId="0" fontId="0" fillId="0" borderId="1" xfId="0" applyFill="1" applyBorder="1"/>
    <xf numFmtId="0" fontId="0" fillId="0" borderId="1" xfId="0" applyBorder="1" applyAlignment="1">
      <alignment wrapText="1"/>
    </xf>
    <xf numFmtId="0" fontId="8" fillId="0" borderId="3" xfId="0" applyFont="1" applyBorder="1" applyAlignment="1">
      <alignment vertical="center" wrapText="1"/>
    </xf>
    <xf numFmtId="0" fontId="8" fillId="0" borderId="3" xfId="0" applyFont="1" applyFill="1" applyBorder="1" applyAlignment="1">
      <alignment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8" xfId="0" applyBorder="1"/>
    <xf numFmtId="0" fontId="0" fillId="0" borderId="29" xfId="0" applyBorder="1"/>
    <xf numFmtId="0" fontId="9" fillId="0" borderId="0" xfId="0" applyFont="1" applyAlignment="1">
      <alignment vertical="center"/>
    </xf>
    <xf numFmtId="0" fontId="1" fillId="0" borderId="0" xfId="0" applyFont="1" applyBorder="1"/>
    <xf numFmtId="0" fontId="10" fillId="0" borderId="0" xfId="0" applyFont="1"/>
    <xf numFmtId="0" fontId="0" fillId="0" borderId="0" xfId="0" quotePrefix="1"/>
    <xf numFmtId="0" fontId="1" fillId="0" borderId="0" xfId="0" applyFont="1"/>
    <xf numFmtId="0" fontId="1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2"/>
    </xf>
    <xf numFmtId="0" fontId="0" fillId="0" borderId="3" xfId="0" applyFill="1" applyBorder="1"/>
    <xf numFmtId="0" fontId="0" fillId="0" borderId="13" xfId="0" applyFill="1" applyBorder="1"/>
    <xf numFmtId="0" fontId="1" fillId="0" borderId="20" xfId="0" applyFont="1" applyBorder="1"/>
    <xf numFmtId="2" fontId="0" fillId="0" borderId="0" xfId="0" applyNumberFormat="1"/>
    <xf numFmtId="0" fontId="0" fillId="2" borderId="1" xfId="0" applyFill="1" applyBorder="1"/>
    <xf numFmtId="0" fontId="11" fillId="2" borderId="1" xfId="0" applyFont="1" applyFill="1" applyBorder="1" applyAlignment="1">
      <alignment vertical="center"/>
    </xf>
    <xf numFmtId="0" fontId="0" fillId="2" borderId="30" xfId="0" applyFill="1" applyBorder="1"/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right" vertical="center" wrapText="1"/>
    </xf>
    <xf numFmtId="0" fontId="0" fillId="0" borderId="0" xfId="0" applyAlignment="1">
      <alignment horizontal="right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vertical="center" wrapText="1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horizontal="left"/>
    </xf>
    <xf numFmtId="0" fontId="0" fillId="0" borderId="0" xfId="0" applyFill="1" applyAlignment="1">
      <alignment horizontal="left"/>
    </xf>
    <xf numFmtId="49" fontId="1" fillId="0" borderId="1" xfId="0" applyNumberFormat="1" applyFont="1" applyBorder="1"/>
    <xf numFmtId="49" fontId="1" fillId="0" borderId="0" xfId="0" applyNumberFormat="1" applyFont="1"/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0" xfId="0" applyFill="1" applyBorder="1" applyAlignment="1">
      <alignment vertical="center" wrapText="1"/>
    </xf>
    <xf numFmtId="0" fontId="0" fillId="5" borderId="0" xfId="0" applyFill="1"/>
    <xf numFmtId="0" fontId="0" fillId="6" borderId="0" xfId="0" applyFill="1" applyBorder="1" applyAlignment="1">
      <alignment vertical="center" wrapText="1"/>
    </xf>
    <xf numFmtId="0" fontId="0" fillId="7" borderId="0" xfId="0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8" borderId="0" xfId="0" applyFill="1"/>
    <xf numFmtId="0" fontId="0" fillId="0" borderId="0" xfId="0" applyFill="1"/>
    <xf numFmtId="0" fontId="0" fillId="10" borderId="0" xfId="0" applyFill="1"/>
    <xf numFmtId="0" fontId="0" fillId="4" borderId="0" xfId="0" applyFill="1"/>
    <xf numFmtId="0" fontId="1" fillId="4" borderId="0" xfId="0" applyFont="1" applyFill="1"/>
    <xf numFmtId="0" fontId="10" fillId="9" borderId="1" xfId="0" applyFont="1" applyFill="1" applyBorder="1" applyAlignment="1">
      <alignment wrapText="1"/>
    </xf>
    <xf numFmtId="0" fontId="1" fillId="3" borderId="1" xfId="0" applyFont="1" applyFill="1" applyBorder="1"/>
    <xf numFmtId="0" fontId="0" fillId="0" borderId="0" xfId="0" applyAlignment="1">
      <alignment horizontal="center"/>
    </xf>
    <xf numFmtId="49" fontId="0" fillId="0" borderId="0" xfId="0" applyNumberFormat="1" applyFill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1" xfId="0" applyNumberFormat="1" applyBorder="1" applyAlignment="1">
      <alignment horizontal="left"/>
    </xf>
    <xf numFmtId="0" fontId="14" fillId="11" borderId="0" xfId="0" applyFont="1" applyFill="1" applyAlignment="1">
      <alignment horizontal="left" vertical="center" readingOrder="1"/>
    </xf>
    <xf numFmtId="0" fontId="0" fillId="11" borderId="1" xfId="0" applyFill="1" applyBorder="1"/>
    <xf numFmtId="0" fontId="15" fillId="0" borderId="0" xfId="0" applyFont="1" applyFill="1"/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3" fillId="0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left"/>
    </xf>
    <xf numFmtId="0" fontId="0" fillId="11" borderId="30" xfId="0" applyFill="1" applyBorder="1"/>
    <xf numFmtId="0" fontId="0" fillId="0" borderId="1" xfId="0" applyBorder="1" applyAlignment="1">
      <alignment horizontal="left"/>
    </xf>
    <xf numFmtId="0" fontId="0" fillId="11" borderId="0" xfId="0" applyFill="1"/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/>
    <xf numFmtId="165" fontId="0" fillId="0" borderId="0" xfId="0" applyNumberFormat="1" applyAlignment="1">
      <alignment horizontal="left"/>
    </xf>
    <xf numFmtId="165" fontId="0" fillId="0" borderId="0" xfId="0" applyNumberFormat="1"/>
    <xf numFmtId="177" fontId="0" fillId="0" borderId="0" xfId="0" applyNumberFormat="1"/>
    <xf numFmtId="165" fontId="0" fillId="0" borderId="0" xfId="0" applyNumberFormat="1" applyAlignment="1"/>
    <xf numFmtId="0" fontId="0" fillId="0" borderId="0" xfId="0" applyAlignment="1"/>
    <xf numFmtId="0" fontId="0" fillId="12" borderId="0" xfId="0" applyFill="1"/>
    <xf numFmtId="0" fontId="0" fillId="13" borderId="0" xfId="0" applyFill="1"/>
    <xf numFmtId="0" fontId="15" fillId="13" borderId="0" xfId="0" applyFont="1" applyFill="1"/>
    <xf numFmtId="2" fontId="0" fillId="13" borderId="0" xfId="0" applyNumberFormat="1" applyFill="1"/>
    <xf numFmtId="0" fontId="0" fillId="1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Outliers!$C$4:$C$14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54-41B3-94B9-3856D6DBD55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Outliers!$D$4:$D$14</c:f>
              <c:numCache>
                <c:formatCode>General</c:formatCode>
                <c:ptCount val="11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95</c:v>
                </c:pt>
                <c:pt idx="4">
                  <c:v>85</c:v>
                </c:pt>
                <c:pt idx="5">
                  <c:v>10</c:v>
                </c:pt>
                <c:pt idx="6">
                  <c:v>94</c:v>
                </c:pt>
                <c:pt idx="7">
                  <c:v>93</c:v>
                </c:pt>
                <c:pt idx="8">
                  <c:v>84</c:v>
                </c:pt>
                <c:pt idx="9">
                  <c:v>5</c:v>
                </c:pt>
                <c:pt idx="10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54-41B3-94B9-3856D6DBD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5972255"/>
        <c:axId val="2025972671"/>
      </c:lineChart>
      <c:catAx>
        <c:axId val="20259722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972671"/>
        <c:crosses val="autoZero"/>
        <c:auto val="1"/>
        <c:lblAlgn val="ctr"/>
        <c:lblOffset val="100"/>
        <c:noMultiLvlLbl val="0"/>
      </c:catAx>
      <c:valAx>
        <c:axId val="202597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972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11" Type="http://schemas.openxmlformats.org/officeDocument/2006/relationships/image" Target="../media/image17.png"/><Relationship Id="rId5" Type="http://schemas.openxmlformats.org/officeDocument/2006/relationships/image" Target="../media/image11.png"/><Relationship Id="rId10" Type="http://schemas.openxmlformats.org/officeDocument/2006/relationships/image" Target="../media/image16.png"/><Relationship Id="rId4" Type="http://schemas.openxmlformats.org/officeDocument/2006/relationships/image" Target="../media/image10.png"/><Relationship Id="rId9" Type="http://schemas.openxmlformats.org/officeDocument/2006/relationships/image" Target="../media/image15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Relationship Id="rId5" Type="http://schemas.openxmlformats.org/officeDocument/2006/relationships/image" Target="../media/image21.png"/><Relationship Id="rId4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29.png"/><Relationship Id="rId13" Type="http://schemas.openxmlformats.org/officeDocument/2006/relationships/image" Target="../media/image34.png"/><Relationship Id="rId3" Type="http://schemas.openxmlformats.org/officeDocument/2006/relationships/image" Target="../media/image24.png"/><Relationship Id="rId7" Type="http://schemas.openxmlformats.org/officeDocument/2006/relationships/image" Target="../media/image28.png"/><Relationship Id="rId12" Type="http://schemas.openxmlformats.org/officeDocument/2006/relationships/image" Target="../media/image33.png"/><Relationship Id="rId2" Type="http://schemas.openxmlformats.org/officeDocument/2006/relationships/image" Target="../media/image23.png"/><Relationship Id="rId1" Type="http://schemas.openxmlformats.org/officeDocument/2006/relationships/image" Target="../media/image22.png"/><Relationship Id="rId6" Type="http://schemas.openxmlformats.org/officeDocument/2006/relationships/image" Target="../media/image27.png"/><Relationship Id="rId11" Type="http://schemas.openxmlformats.org/officeDocument/2006/relationships/image" Target="../media/image32.png"/><Relationship Id="rId5" Type="http://schemas.openxmlformats.org/officeDocument/2006/relationships/image" Target="../media/image26.png"/><Relationship Id="rId15" Type="http://schemas.openxmlformats.org/officeDocument/2006/relationships/image" Target="../media/image36.png"/><Relationship Id="rId10" Type="http://schemas.openxmlformats.org/officeDocument/2006/relationships/image" Target="../media/image31.png"/><Relationship Id="rId4" Type="http://schemas.openxmlformats.org/officeDocument/2006/relationships/image" Target="../media/image25.png"/><Relationship Id="rId9" Type="http://schemas.openxmlformats.org/officeDocument/2006/relationships/image" Target="../media/image30.png"/><Relationship Id="rId14" Type="http://schemas.openxmlformats.org/officeDocument/2006/relationships/image" Target="../media/image35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44.png"/><Relationship Id="rId3" Type="http://schemas.openxmlformats.org/officeDocument/2006/relationships/image" Target="../media/image39.png"/><Relationship Id="rId7" Type="http://schemas.openxmlformats.org/officeDocument/2006/relationships/image" Target="../media/image43.png"/><Relationship Id="rId12" Type="http://schemas.openxmlformats.org/officeDocument/2006/relationships/image" Target="../media/image48.png"/><Relationship Id="rId2" Type="http://schemas.openxmlformats.org/officeDocument/2006/relationships/image" Target="../media/image38.png"/><Relationship Id="rId1" Type="http://schemas.openxmlformats.org/officeDocument/2006/relationships/image" Target="../media/image37.png"/><Relationship Id="rId6" Type="http://schemas.openxmlformats.org/officeDocument/2006/relationships/image" Target="../media/image42.png"/><Relationship Id="rId11" Type="http://schemas.openxmlformats.org/officeDocument/2006/relationships/image" Target="../media/image47.png"/><Relationship Id="rId5" Type="http://schemas.openxmlformats.org/officeDocument/2006/relationships/image" Target="../media/image41.emf"/><Relationship Id="rId10" Type="http://schemas.openxmlformats.org/officeDocument/2006/relationships/image" Target="../media/image46.png"/><Relationship Id="rId4" Type="http://schemas.openxmlformats.org/officeDocument/2006/relationships/image" Target="../media/image40.png"/><Relationship Id="rId9" Type="http://schemas.openxmlformats.org/officeDocument/2006/relationships/image" Target="../media/image45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88901</xdr:colOff>
      <xdr:row>2</xdr:row>
      <xdr:rowOff>196850</xdr:rowOff>
    </xdr:from>
    <xdr:to>
      <xdr:col>0</xdr:col>
      <xdr:colOff>1732771</xdr:colOff>
      <xdr:row>4</xdr:row>
      <xdr:rowOff>190500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901" y="609600"/>
          <a:ext cx="1643870" cy="488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13</xdr:row>
      <xdr:rowOff>165100</xdr:rowOff>
    </xdr:from>
    <xdr:to>
      <xdr:col>5</xdr:col>
      <xdr:colOff>133350</xdr:colOff>
      <xdr:row>18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181350"/>
          <a:ext cx="2044700" cy="755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469900</xdr:colOff>
      <xdr:row>14</xdr:row>
      <xdr:rowOff>171450</xdr:rowOff>
    </xdr:from>
    <xdr:to>
      <xdr:col>4</xdr:col>
      <xdr:colOff>590550</xdr:colOff>
      <xdr:row>18</xdr:row>
      <xdr:rowOff>38100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0" y="2990850"/>
          <a:ext cx="2286000" cy="603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603250</xdr:colOff>
      <xdr:row>0</xdr:row>
      <xdr:rowOff>31750</xdr:rowOff>
    </xdr:from>
    <xdr:to>
      <xdr:col>10</xdr:col>
      <xdr:colOff>603250</xdr:colOff>
      <xdr:row>20</xdr:row>
      <xdr:rowOff>6350</xdr:rowOff>
    </xdr:to>
    <xdr:pic>
      <xdr:nvPicPr>
        <xdr:cNvPr id="2" name="Picture 1" descr="5 Ways to Find Outliers in Your Data - Statistics By Jim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850" y="31750"/>
          <a:ext cx="5486400" cy="3657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13</xdr:row>
      <xdr:rowOff>19050</xdr:rowOff>
    </xdr:from>
    <xdr:to>
      <xdr:col>4</xdr:col>
      <xdr:colOff>260350</xdr:colOff>
      <xdr:row>16</xdr:row>
      <xdr:rowOff>95250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2413000"/>
          <a:ext cx="2241550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12700</xdr:colOff>
      <xdr:row>17</xdr:row>
      <xdr:rowOff>95250</xdr:rowOff>
    </xdr:from>
    <xdr:to>
      <xdr:col>3</xdr:col>
      <xdr:colOff>76200</xdr:colOff>
      <xdr:row>19</xdr:row>
      <xdr:rowOff>139700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2300" y="3225800"/>
          <a:ext cx="1282700" cy="412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393700</xdr:colOff>
      <xdr:row>7</xdr:row>
      <xdr:rowOff>2016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40150" cy="1291066"/>
        </a:xfrm>
        <a:prstGeom prst="rect">
          <a:avLst/>
        </a:prstGeom>
      </xdr:spPr>
    </xdr:pic>
    <xdr:clientData/>
  </xdr:twoCellAnchor>
  <xdr:twoCellAnchor editAs="oneCell">
    <xdr:from>
      <xdr:col>6</xdr:col>
      <xdr:colOff>2095</xdr:colOff>
      <xdr:row>0</xdr:row>
      <xdr:rowOff>0</xdr:rowOff>
    </xdr:from>
    <xdr:to>
      <xdr:col>10</xdr:col>
      <xdr:colOff>288824</xdr:colOff>
      <xdr:row>4</xdr:row>
      <xdr:rowOff>90255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9695" y="0"/>
          <a:ext cx="2725129" cy="826855"/>
        </a:xfrm>
        <a:prstGeom prst="rect">
          <a:avLst/>
        </a:prstGeom>
      </xdr:spPr>
    </xdr:pic>
    <xdr:clientData/>
  </xdr:twoCellAnchor>
  <xdr:twoCellAnchor>
    <xdr:from>
      <xdr:col>2</xdr:col>
      <xdr:colOff>50800</xdr:colOff>
      <xdr:row>15</xdr:row>
      <xdr:rowOff>0</xdr:rowOff>
    </xdr:from>
    <xdr:to>
      <xdr:col>2</xdr:col>
      <xdr:colOff>247650</xdr:colOff>
      <xdr:row>18</xdr:row>
      <xdr:rowOff>0</xdr:rowOff>
    </xdr:to>
    <xdr:sp macro="" textlink="">
      <xdr:nvSpPr>
        <xdr:cNvPr id="4" name="Left Bracket 3"/>
        <xdr:cNvSpPr/>
      </xdr:nvSpPr>
      <xdr:spPr>
        <a:xfrm>
          <a:off x="1568450" y="3498850"/>
          <a:ext cx="196850" cy="55245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406400</xdr:colOff>
      <xdr:row>15</xdr:row>
      <xdr:rowOff>12700</xdr:rowOff>
    </xdr:from>
    <xdr:to>
      <xdr:col>2</xdr:col>
      <xdr:colOff>533400</xdr:colOff>
      <xdr:row>18</xdr:row>
      <xdr:rowOff>12700</xdr:rowOff>
    </xdr:to>
    <xdr:sp macro="" textlink="">
      <xdr:nvSpPr>
        <xdr:cNvPr id="5" name="Right Bracket 4"/>
        <xdr:cNvSpPr/>
      </xdr:nvSpPr>
      <xdr:spPr>
        <a:xfrm>
          <a:off x="1924050" y="3879850"/>
          <a:ext cx="127000" cy="55245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285750</xdr:colOff>
      <xdr:row>18</xdr:row>
      <xdr:rowOff>171450</xdr:rowOff>
    </xdr:from>
    <xdr:to>
      <xdr:col>2</xdr:col>
      <xdr:colOff>527050</xdr:colOff>
      <xdr:row>22</xdr:row>
      <xdr:rowOff>38100</xdr:rowOff>
    </xdr:to>
    <xdr:sp macro="" textlink="">
      <xdr:nvSpPr>
        <xdr:cNvPr id="6" name="Left Bracket 5"/>
        <xdr:cNvSpPr/>
      </xdr:nvSpPr>
      <xdr:spPr>
        <a:xfrm>
          <a:off x="1803400" y="4222750"/>
          <a:ext cx="241300" cy="60325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584200</xdr:colOff>
      <xdr:row>18</xdr:row>
      <xdr:rowOff>177800</xdr:rowOff>
    </xdr:from>
    <xdr:to>
      <xdr:col>5</xdr:col>
      <xdr:colOff>177800</xdr:colOff>
      <xdr:row>22</xdr:row>
      <xdr:rowOff>31750</xdr:rowOff>
    </xdr:to>
    <xdr:sp macro="" textlink="">
      <xdr:nvSpPr>
        <xdr:cNvPr id="7" name="Right Bracket 6"/>
        <xdr:cNvSpPr/>
      </xdr:nvSpPr>
      <xdr:spPr>
        <a:xfrm>
          <a:off x="3321050" y="4597400"/>
          <a:ext cx="203200" cy="59055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 editAs="oneCell">
    <xdr:from>
      <xdr:col>1</xdr:col>
      <xdr:colOff>146050</xdr:colOff>
      <xdr:row>23</xdr:row>
      <xdr:rowOff>120650</xdr:rowOff>
    </xdr:from>
    <xdr:to>
      <xdr:col>1</xdr:col>
      <xdr:colOff>527050</xdr:colOff>
      <xdr:row>25</xdr:row>
      <xdr:rowOff>19050</xdr:rowOff>
    </xdr:to>
    <xdr:pic>
      <xdr:nvPicPr>
        <xdr:cNvPr id="9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4100" y="5092700"/>
          <a:ext cx="3810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292100</xdr:colOff>
      <xdr:row>23</xdr:row>
      <xdr:rowOff>114300</xdr:rowOff>
    </xdr:from>
    <xdr:to>
      <xdr:col>2</xdr:col>
      <xdr:colOff>533400</xdr:colOff>
      <xdr:row>26</xdr:row>
      <xdr:rowOff>165100</xdr:rowOff>
    </xdr:to>
    <xdr:sp macro="" textlink="">
      <xdr:nvSpPr>
        <xdr:cNvPr id="10" name="Left Bracket 9"/>
        <xdr:cNvSpPr/>
      </xdr:nvSpPr>
      <xdr:spPr>
        <a:xfrm>
          <a:off x="1809750" y="5086350"/>
          <a:ext cx="241300" cy="60325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6350</xdr:colOff>
      <xdr:row>23</xdr:row>
      <xdr:rowOff>158750</xdr:rowOff>
    </xdr:from>
    <xdr:to>
      <xdr:col>5</xdr:col>
      <xdr:colOff>209550</xdr:colOff>
      <xdr:row>27</xdr:row>
      <xdr:rowOff>12700</xdr:rowOff>
    </xdr:to>
    <xdr:sp macro="" textlink="">
      <xdr:nvSpPr>
        <xdr:cNvPr id="11" name="Right Bracket 10"/>
        <xdr:cNvSpPr/>
      </xdr:nvSpPr>
      <xdr:spPr>
        <a:xfrm>
          <a:off x="3352800" y="5130800"/>
          <a:ext cx="203200" cy="59055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>
    <xdr:from>
      <xdr:col>5</xdr:col>
      <xdr:colOff>285750</xdr:colOff>
      <xdr:row>23</xdr:row>
      <xdr:rowOff>171450</xdr:rowOff>
    </xdr:from>
    <xdr:to>
      <xdr:col>5</xdr:col>
      <xdr:colOff>527050</xdr:colOff>
      <xdr:row>27</xdr:row>
      <xdr:rowOff>38100</xdr:rowOff>
    </xdr:to>
    <xdr:sp macro="" textlink="">
      <xdr:nvSpPr>
        <xdr:cNvPr id="12" name="Left Bracket 11"/>
        <xdr:cNvSpPr/>
      </xdr:nvSpPr>
      <xdr:spPr>
        <a:xfrm>
          <a:off x="1803400" y="4222750"/>
          <a:ext cx="241300" cy="60325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584200</xdr:colOff>
      <xdr:row>23</xdr:row>
      <xdr:rowOff>177800</xdr:rowOff>
    </xdr:from>
    <xdr:to>
      <xdr:col>8</xdr:col>
      <xdr:colOff>177800</xdr:colOff>
      <xdr:row>27</xdr:row>
      <xdr:rowOff>31750</xdr:rowOff>
    </xdr:to>
    <xdr:sp macro="" textlink="">
      <xdr:nvSpPr>
        <xdr:cNvPr id="13" name="Right Bracket 12"/>
        <xdr:cNvSpPr/>
      </xdr:nvSpPr>
      <xdr:spPr>
        <a:xfrm>
          <a:off x="3321050" y="4229100"/>
          <a:ext cx="203200" cy="59055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>
    <xdr:from>
      <xdr:col>9</xdr:col>
      <xdr:colOff>260350</xdr:colOff>
      <xdr:row>23</xdr:row>
      <xdr:rowOff>165100</xdr:rowOff>
    </xdr:from>
    <xdr:to>
      <xdr:col>9</xdr:col>
      <xdr:colOff>501650</xdr:colOff>
      <xdr:row>27</xdr:row>
      <xdr:rowOff>31750</xdr:rowOff>
    </xdr:to>
    <xdr:sp macro="" textlink="">
      <xdr:nvSpPr>
        <xdr:cNvPr id="14" name="Left Bracket 13"/>
        <xdr:cNvSpPr/>
      </xdr:nvSpPr>
      <xdr:spPr>
        <a:xfrm>
          <a:off x="6654800" y="5137150"/>
          <a:ext cx="241300" cy="60325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558800</xdr:colOff>
      <xdr:row>23</xdr:row>
      <xdr:rowOff>171450</xdr:rowOff>
    </xdr:from>
    <xdr:to>
      <xdr:col>12</xdr:col>
      <xdr:colOff>152400</xdr:colOff>
      <xdr:row>27</xdr:row>
      <xdr:rowOff>25400</xdr:rowOff>
    </xdr:to>
    <xdr:sp macro="" textlink="">
      <xdr:nvSpPr>
        <xdr:cNvPr id="15" name="Right Bracket 14"/>
        <xdr:cNvSpPr/>
      </xdr:nvSpPr>
      <xdr:spPr>
        <a:xfrm>
          <a:off x="8172450" y="5143500"/>
          <a:ext cx="203200" cy="59055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 editAs="oneCell">
    <xdr:from>
      <xdr:col>1</xdr:col>
      <xdr:colOff>184150</xdr:colOff>
      <xdr:row>27</xdr:row>
      <xdr:rowOff>114300</xdr:rowOff>
    </xdr:from>
    <xdr:to>
      <xdr:col>1</xdr:col>
      <xdr:colOff>590550</xdr:colOff>
      <xdr:row>29</xdr:row>
      <xdr:rowOff>25400</xdr:rowOff>
    </xdr:to>
    <xdr:pic>
      <xdr:nvPicPr>
        <xdr:cNvPr id="16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200" y="5822950"/>
          <a:ext cx="4064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292100</xdr:colOff>
      <xdr:row>30</xdr:row>
      <xdr:rowOff>114300</xdr:rowOff>
    </xdr:from>
    <xdr:to>
      <xdr:col>2</xdr:col>
      <xdr:colOff>533400</xdr:colOff>
      <xdr:row>33</xdr:row>
      <xdr:rowOff>165100</xdr:rowOff>
    </xdr:to>
    <xdr:sp macro="" textlink="">
      <xdr:nvSpPr>
        <xdr:cNvPr id="17" name="Left Bracket 16"/>
        <xdr:cNvSpPr/>
      </xdr:nvSpPr>
      <xdr:spPr>
        <a:xfrm>
          <a:off x="1809750" y="5086350"/>
          <a:ext cx="241300" cy="60325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6350</xdr:colOff>
      <xdr:row>30</xdr:row>
      <xdr:rowOff>158750</xdr:rowOff>
    </xdr:from>
    <xdr:to>
      <xdr:col>5</xdr:col>
      <xdr:colOff>209550</xdr:colOff>
      <xdr:row>34</xdr:row>
      <xdr:rowOff>12700</xdr:rowOff>
    </xdr:to>
    <xdr:sp macro="" textlink="">
      <xdr:nvSpPr>
        <xdr:cNvPr id="18" name="Right Bracket 17"/>
        <xdr:cNvSpPr/>
      </xdr:nvSpPr>
      <xdr:spPr>
        <a:xfrm>
          <a:off x="3352800" y="5130800"/>
          <a:ext cx="203200" cy="59055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>
    <xdr:from>
      <xdr:col>5</xdr:col>
      <xdr:colOff>279400</xdr:colOff>
      <xdr:row>31</xdr:row>
      <xdr:rowOff>0</xdr:rowOff>
    </xdr:from>
    <xdr:to>
      <xdr:col>5</xdr:col>
      <xdr:colOff>476250</xdr:colOff>
      <xdr:row>34</xdr:row>
      <xdr:rowOff>0</xdr:rowOff>
    </xdr:to>
    <xdr:sp macro="" textlink="">
      <xdr:nvSpPr>
        <xdr:cNvPr id="20" name="Left Bracket 19"/>
        <xdr:cNvSpPr/>
      </xdr:nvSpPr>
      <xdr:spPr>
        <a:xfrm>
          <a:off x="3625850" y="6445250"/>
          <a:ext cx="196850" cy="55245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63500</xdr:colOff>
      <xdr:row>31</xdr:row>
      <xdr:rowOff>0</xdr:rowOff>
    </xdr:from>
    <xdr:to>
      <xdr:col>6</xdr:col>
      <xdr:colOff>190500</xdr:colOff>
      <xdr:row>34</xdr:row>
      <xdr:rowOff>0</xdr:rowOff>
    </xdr:to>
    <xdr:sp macro="" textlink="">
      <xdr:nvSpPr>
        <xdr:cNvPr id="22" name="Right Bracket 21"/>
        <xdr:cNvSpPr/>
      </xdr:nvSpPr>
      <xdr:spPr>
        <a:xfrm>
          <a:off x="4019550" y="6445250"/>
          <a:ext cx="127000" cy="55245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292100</xdr:colOff>
      <xdr:row>30</xdr:row>
      <xdr:rowOff>158750</xdr:rowOff>
    </xdr:from>
    <xdr:to>
      <xdr:col>7</xdr:col>
      <xdr:colOff>533400</xdr:colOff>
      <xdr:row>34</xdr:row>
      <xdr:rowOff>25400</xdr:rowOff>
    </xdr:to>
    <xdr:sp macro="" textlink="">
      <xdr:nvSpPr>
        <xdr:cNvPr id="23" name="Left Bracket 22"/>
        <xdr:cNvSpPr/>
      </xdr:nvSpPr>
      <xdr:spPr>
        <a:xfrm>
          <a:off x="4857750" y="6419850"/>
          <a:ext cx="241300" cy="60325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577850</xdr:colOff>
      <xdr:row>30</xdr:row>
      <xdr:rowOff>177800</xdr:rowOff>
    </xdr:from>
    <xdr:to>
      <xdr:col>8</xdr:col>
      <xdr:colOff>171450</xdr:colOff>
      <xdr:row>34</xdr:row>
      <xdr:rowOff>31750</xdr:rowOff>
    </xdr:to>
    <xdr:sp macro="" textlink="">
      <xdr:nvSpPr>
        <xdr:cNvPr id="24" name="Right Bracket 23"/>
        <xdr:cNvSpPr/>
      </xdr:nvSpPr>
      <xdr:spPr>
        <a:xfrm>
          <a:off x="5143500" y="6438900"/>
          <a:ext cx="203200" cy="59055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 editAs="oneCell">
    <xdr:from>
      <xdr:col>1</xdr:col>
      <xdr:colOff>120650</xdr:colOff>
      <xdr:row>34</xdr:row>
      <xdr:rowOff>120650</xdr:rowOff>
    </xdr:from>
    <xdr:to>
      <xdr:col>3</xdr:col>
      <xdr:colOff>323850</xdr:colOff>
      <xdr:row>36</xdr:row>
      <xdr:rowOff>63500</xdr:rowOff>
    </xdr:to>
    <xdr:pic>
      <xdr:nvPicPr>
        <xdr:cNvPr id="25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7118350"/>
          <a:ext cx="14224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717550</xdr:colOff>
      <xdr:row>39</xdr:row>
      <xdr:rowOff>82550</xdr:rowOff>
    </xdr:to>
    <xdr:pic>
      <xdr:nvPicPr>
        <xdr:cNvPr id="26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50150"/>
          <a:ext cx="717550" cy="450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374650</xdr:colOff>
      <xdr:row>35</xdr:row>
      <xdr:rowOff>165100</xdr:rowOff>
    </xdr:from>
    <xdr:to>
      <xdr:col>5</xdr:col>
      <xdr:colOff>6350</xdr:colOff>
      <xdr:row>39</xdr:row>
      <xdr:rowOff>31750</xdr:rowOff>
    </xdr:to>
    <xdr:sp macro="" textlink="">
      <xdr:nvSpPr>
        <xdr:cNvPr id="27" name="Left Bracket 26"/>
        <xdr:cNvSpPr/>
      </xdr:nvSpPr>
      <xdr:spPr>
        <a:xfrm>
          <a:off x="3111500" y="7346950"/>
          <a:ext cx="241300" cy="60325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558800</xdr:colOff>
      <xdr:row>35</xdr:row>
      <xdr:rowOff>171450</xdr:rowOff>
    </xdr:from>
    <xdr:to>
      <xdr:col>7</xdr:col>
      <xdr:colOff>152400</xdr:colOff>
      <xdr:row>39</xdr:row>
      <xdr:rowOff>25400</xdr:rowOff>
    </xdr:to>
    <xdr:sp macro="" textlink="">
      <xdr:nvSpPr>
        <xdr:cNvPr id="28" name="Right Bracket 27"/>
        <xdr:cNvSpPr/>
      </xdr:nvSpPr>
      <xdr:spPr>
        <a:xfrm>
          <a:off x="7562850" y="5143500"/>
          <a:ext cx="203200" cy="59055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>
    <xdr:from>
      <xdr:col>4</xdr:col>
      <xdr:colOff>292100</xdr:colOff>
      <xdr:row>47</xdr:row>
      <xdr:rowOff>152400</xdr:rowOff>
    </xdr:from>
    <xdr:to>
      <xdr:col>4</xdr:col>
      <xdr:colOff>463550</xdr:colOff>
      <xdr:row>50</xdr:row>
      <xdr:rowOff>25400</xdr:rowOff>
    </xdr:to>
    <xdr:sp macro="" textlink="">
      <xdr:nvSpPr>
        <xdr:cNvPr id="29" name="Left Bracket 28"/>
        <xdr:cNvSpPr/>
      </xdr:nvSpPr>
      <xdr:spPr>
        <a:xfrm>
          <a:off x="3028950" y="9582150"/>
          <a:ext cx="171450" cy="42545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260350</xdr:colOff>
      <xdr:row>48</xdr:row>
      <xdr:rowOff>0</xdr:rowOff>
    </xdr:from>
    <xdr:to>
      <xdr:col>6</xdr:col>
      <xdr:colOff>406400</xdr:colOff>
      <xdr:row>50</xdr:row>
      <xdr:rowOff>50800</xdr:rowOff>
    </xdr:to>
    <xdr:sp macro="" textlink="">
      <xdr:nvSpPr>
        <xdr:cNvPr id="30" name="Right Bracket 29"/>
        <xdr:cNvSpPr/>
      </xdr:nvSpPr>
      <xdr:spPr>
        <a:xfrm>
          <a:off x="4216400" y="9613900"/>
          <a:ext cx="146050" cy="41910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>
    <xdr:from>
      <xdr:col>6</xdr:col>
      <xdr:colOff>260350</xdr:colOff>
      <xdr:row>52</xdr:row>
      <xdr:rowOff>0</xdr:rowOff>
    </xdr:from>
    <xdr:to>
      <xdr:col>6</xdr:col>
      <xdr:colOff>406400</xdr:colOff>
      <xdr:row>54</xdr:row>
      <xdr:rowOff>50800</xdr:rowOff>
    </xdr:to>
    <xdr:sp macro="" textlink="">
      <xdr:nvSpPr>
        <xdr:cNvPr id="31" name="Right Bracket 30"/>
        <xdr:cNvSpPr/>
      </xdr:nvSpPr>
      <xdr:spPr>
        <a:xfrm>
          <a:off x="4216400" y="9613900"/>
          <a:ext cx="146050" cy="41910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>
    <xdr:from>
      <xdr:col>4</xdr:col>
      <xdr:colOff>323850</xdr:colOff>
      <xdr:row>52</xdr:row>
      <xdr:rowOff>12700</xdr:rowOff>
    </xdr:from>
    <xdr:to>
      <xdr:col>4</xdr:col>
      <xdr:colOff>495300</xdr:colOff>
      <xdr:row>54</xdr:row>
      <xdr:rowOff>69850</xdr:rowOff>
    </xdr:to>
    <xdr:sp macro="" textlink="">
      <xdr:nvSpPr>
        <xdr:cNvPr id="32" name="Left Bracket 31"/>
        <xdr:cNvSpPr/>
      </xdr:nvSpPr>
      <xdr:spPr>
        <a:xfrm>
          <a:off x="3060700" y="10363200"/>
          <a:ext cx="171450" cy="42545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260350</xdr:colOff>
      <xdr:row>55</xdr:row>
      <xdr:rowOff>0</xdr:rowOff>
    </xdr:from>
    <xdr:to>
      <xdr:col>6</xdr:col>
      <xdr:colOff>406400</xdr:colOff>
      <xdr:row>57</xdr:row>
      <xdr:rowOff>50800</xdr:rowOff>
    </xdr:to>
    <xdr:sp macro="" textlink="">
      <xdr:nvSpPr>
        <xdr:cNvPr id="33" name="Right Bracket 32"/>
        <xdr:cNvSpPr/>
      </xdr:nvSpPr>
      <xdr:spPr>
        <a:xfrm>
          <a:off x="4216400" y="10350500"/>
          <a:ext cx="146050" cy="41910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>
    <xdr:from>
      <xdr:col>4</xdr:col>
      <xdr:colOff>323850</xdr:colOff>
      <xdr:row>55</xdr:row>
      <xdr:rowOff>12700</xdr:rowOff>
    </xdr:from>
    <xdr:to>
      <xdr:col>4</xdr:col>
      <xdr:colOff>495300</xdr:colOff>
      <xdr:row>57</xdr:row>
      <xdr:rowOff>69850</xdr:rowOff>
    </xdr:to>
    <xdr:sp macro="" textlink="">
      <xdr:nvSpPr>
        <xdr:cNvPr id="34" name="Left Bracket 33"/>
        <xdr:cNvSpPr/>
      </xdr:nvSpPr>
      <xdr:spPr>
        <a:xfrm>
          <a:off x="3060700" y="10363200"/>
          <a:ext cx="171450" cy="42545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292100</xdr:colOff>
      <xdr:row>47</xdr:row>
      <xdr:rowOff>152400</xdr:rowOff>
    </xdr:from>
    <xdr:to>
      <xdr:col>10</xdr:col>
      <xdr:colOff>463550</xdr:colOff>
      <xdr:row>50</xdr:row>
      <xdr:rowOff>25400</xdr:rowOff>
    </xdr:to>
    <xdr:sp macro="" textlink="">
      <xdr:nvSpPr>
        <xdr:cNvPr id="35" name="Left Bracket 34"/>
        <xdr:cNvSpPr/>
      </xdr:nvSpPr>
      <xdr:spPr>
        <a:xfrm>
          <a:off x="3028950" y="9582150"/>
          <a:ext cx="171450" cy="42545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260350</xdr:colOff>
      <xdr:row>48</xdr:row>
      <xdr:rowOff>0</xdr:rowOff>
    </xdr:from>
    <xdr:to>
      <xdr:col>12</xdr:col>
      <xdr:colOff>406400</xdr:colOff>
      <xdr:row>50</xdr:row>
      <xdr:rowOff>50800</xdr:rowOff>
    </xdr:to>
    <xdr:sp macro="" textlink="">
      <xdr:nvSpPr>
        <xdr:cNvPr id="36" name="Right Bracket 35"/>
        <xdr:cNvSpPr/>
      </xdr:nvSpPr>
      <xdr:spPr>
        <a:xfrm>
          <a:off x="4216400" y="9613900"/>
          <a:ext cx="146050" cy="41910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>
    <xdr:from>
      <xdr:col>12</xdr:col>
      <xdr:colOff>260350</xdr:colOff>
      <xdr:row>52</xdr:row>
      <xdr:rowOff>0</xdr:rowOff>
    </xdr:from>
    <xdr:to>
      <xdr:col>12</xdr:col>
      <xdr:colOff>406400</xdr:colOff>
      <xdr:row>54</xdr:row>
      <xdr:rowOff>50800</xdr:rowOff>
    </xdr:to>
    <xdr:sp macro="" textlink="">
      <xdr:nvSpPr>
        <xdr:cNvPr id="37" name="Right Bracket 36"/>
        <xdr:cNvSpPr/>
      </xdr:nvSpPr>
      <xdr:spPr>
        <a:xfrm>
          <a:off x="4216400" y="10350500"/>
          <a:ext cx="146050" cy="41910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>
    <xdr:from>
      <xdr:col>10</xdr:col>
      <xdr:colOff>323850</xdr:colOff>
      <xdr:row>52</xdr:row>
      <xdr:rowOff>12700</xdr:rowOff>
    </xdr:from>
    <xdr:to>
      <xdr:col>10</xdr:col>
      <xdr:colOff>495300</xdr:colOff>
      <xdr:row>54</xdr:row>
      <xdr:rowOff>69850</xdr:rowOff>
    </xdr:to>
    <xdr:sp macro="" textlink="">
      <xdr:nvSpPr>
        <xdr:cNvPr id="38" name="Left Bracket 37"/>
        <xdr:cNvSpPr/>
      </xdr:nvSpPr>
      <xdr:spPr>
        <a:xfrm>
          <a:off x="3060700" y="10363200"/>
          <a:ext cx="171450" cy="42545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260350</xdr:colOff>
      <xdr:row>55</xdr:row>
      <xdr:rowOff>0</xdr:rowOff>
    </xdr:from>
    <xdr:to>
      <xdr:col>12</xdr:col>
      <xdr:colOff>406400</xdr:colOff>
      <xdr:row>57</xdr:row>
      <xdr:rowOff>50800</xdr:rowOff>
    </xdr:to>
    <xdr:sp macro="" textlink="">
      <xdr:nvSpPr>
        <xdr:cNvPr id="39" name="Right Bracket 38"/>
        <xdr:cNvSpPr/>
      </xdr:nvSpPr>
      <xdr:spPr>
        <a:xfrm>
          <a:off x="4216400" y="10902950"/>
          <a:ext cx="146050" cy="41910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>
    <xdr:from>
      <xdr:col>10</xdr:col>
      <xdr:colOff>323850</xdr:colOff>
      <xdr:row>55</xdr:row>
      <xdr:rowOff>12700</xdr:rowOff>
    </xdr:from>
    <xdr:to>
      <xdr:col>10</xdr:col>
      <xdr:colOff>495300</xdr:colOff>
      <xdr:row>57</xdr:row>
      <xdr:rowOff>69850</xdr:rowOff>
    </xdr:to>
    <xdr:sp macro="" textlink="">
      <xdr:nvSpPr>
        <xdr:cNvPr id="40" name="Left Bracket 39"/>
        <xdr:cNvSpPr/>
      </xdr:nvSpPr>
      <xdr:spPr>
        <a:xfrm>
          <a:off x="3060700" y="10915650"/>
          <a:ext cx="171450" cy="42545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292100</xdr:colOff>
      <xdr:row>47</xdr:row>
      <xdr:rowOff>152400</xdr:rowOff>
    </xdr:from>
    <xdr:to>
      <xdr:col>16</xdr:col>
      <xdr:colOff>463550</xdr:colOff>
      <xdr:row>50</xdr:row>
      <xdr:rowOff>25400</xdr:rowOff>
    </xdr:to>
    <xdr:sp macro="" textlink="">
      <xdr:nvSpPr>
        <xdr:cNvPr id="41" name="Left Bracket 40"/>
        <xdr:cNvSpPr/>
      </xdr:nvSpPr>
      <xdr:spPr>
        <a:xfrm>
          <a:off x="6686550" y="9582150"/>
          <a:ext cx="171450" cy="42545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260350</xdr:colOff>
      <xdr:row>48</xdr:row>
      <xdr:rowOff>0</xdr:rowOff>
    </xdr:from>
    <xdr:to>
      <xdr:col>18</xdr:col>
      <xdr:colOff>406400</xdr:colOff>
      <xdr:row>50</xdr:row>
      <xdr:rowOff>50800</xdr:rowOff>
    </xdr:to>
    <xdr:sp macro="" textlink="">
      <xdr:nvSpPr>
        <xdr:cNvPr id="42" name="Right Bracket 41"/>
        <xdr:cNvSpPr/>
      </xdr:nvSpPr>
      <xdr:spPr>
        <a:xfrm>
          <a:off x="7874000" y="9613900"/>
          <a:ext cx="146050" cy="41910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>
    <xdr:from>
      <xdr:col>18</xdr:col>
      <xdr:colOff>260350</xdr:colOff>
      <xdr:row>52</xdr:row>
      <xdr:rowOff>0</xdr:rowOff>
    </xdr:from>
    <xdr:to>
      <xdr:col>18</xdr:col>
      <xdr:colOff>406400</xdr:colOff>
      <xdr:row>54</xdr:row>
      <xdr:rowOff>50800</xdr:rowOff>
    </xdr:to>
    <xdr:sp macro="" textlink="">
      <xdr:nvSpPr>
        <xdr:cNvPr id="43" name="Right Bracket 42"/>
        <xdr:cNvSpPr/>
      </xdr:nvSpPr>
      <xdr:spPr>
        <a:xfrm>
          <a:off x="7874000" y="10350500"/>
          <a:ext cx="146050" cy="41910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>
    <xdr:from>
      <xdr:col>16</xdr:col>
      <xdr:colOff>323850</xdr:colOff>
      <xdr:row>52</xdr:row>
      <xdr:rowOff>12700</xdr:rowOff>
    </xdr:from>
    <xdr:to>
      <xdr:col>16</xdr:col>
      <xdr:colOff>495300</xdr:colOff>
      <xdr:row>54</xdr:row>
      <xdr:rowOff>69850</xdr:rowOff>
    </xdr:to>
    <xdr:sp macro="" textlink="">
      <xdr:nvSpPr>
        <xdr:cNvPr id="44" name="Left Bracket 43"/>
        <xdr:cNvSpPr/>
      </xdr:nvSpPr>
      <xdr:spPr>
        <a:xfrm>
          <a:off x="6718300" y="10363200"/>
          <a:ext cx="171450" cy="42545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260350</xdr:colOff>
      <xdr:row>55</xdr:row>
      <xdr:rowOff>0</xdr:rowOff>
    </xdr:from>
    <xdr:to>
      <xdr:col>18</xdr:col>
      <xdr:colOff>406400</xdr:colOff>
      <xdr:row>57</xdr:row>
      <xdr:rowOff>50800</xdr:rowOff>
    </xdr:to>
    <xdr:sp macro="" textlink="">
      <xdr:nvSpPr>
        <xdr:cNvPr id="45" name="Right Bracket 44"/>
        <xdr:cNvSpPr/>
      </xdr:nvSpPr>
      <xdr:spPr>
        <a:xfrm>
          <a:off x="7874000" y="10902950"/>
          <a:ext cx="146050" cy="41910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>
    <xdr:from>
      <xdr:col>16</xdr:col>
      <xdr:colOff>323850</xdr:colOff>
      <xdr:row>55</xdr:row>
      <xdr:rowOff>12700</xdr:rowOff>
    </xdr:from>
    <xdr:to>
      <xdr:col>16</xdr:col>
      <xdr:colOff>495300</xdr:colOff>
      <xdr:row>57</xdr:row>
      <xdr:rowOff>69850</xdr:rowOff>
    </xdr:to>
    <xdr:sp macro="" textlink="">
      <xdr:nvSpPr>
        <xdr:cNvPr id="46" name="Left Bracket 45"/>
        <xdr:cNvSpPr/>
      </xdr:nvSpPr>
      <xdr:spPr>
        <a:xfrm>
          <a:off x="6718300" y="10915650"/>
          <a:ext cx="171450" cy="42545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</xdr:col>
      <xdr:colOff>292100</xdr:colOff>
      <xdr:row>60</xdr:row>
      <xdr:rowOff>171450</xdr:rowOff>
    </xdr:from>
    <xdr:to>
      <xdr:col>3</xdr:col>
      <xdr:colOff>311150</xdr:colOff>
      <xdr:row>66</xdr:row>
      <xdr:rowOff>44450</xdr:rowOff>
    </xdr:to>
    <xdr:pic>
      <xdr:nvPicPr>
        <xdr:cNvPr id="57" name="Picture 56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1995150"/>
          <a:ext cx="1238250" cy="977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139700</xdr:colOff>
      <xdr:row>57</xdr:row>
      <xdr:rowOff>158750</xdr:rowOff>
    </xdr:from>
    <xdr:to>
      <xdr:col>6</xdr:col>
      <xdr:colOff>247650</xdr:colOff>
      <xdr:row>60</xdr:row>
      <xdr:rowOff>171450</xdr:rowOff>
    </xdr:to>
    <xdr:sp macro="" textlink="">
      <xdr:nvSpPr>
        <xdr:cNvPr id="58" name="Right Bracket 57"/>
        <xdr:cNvSpPr/>
      </xdr:nvSpPr>
      <xdr:spPr>
        <a:xfrm>
          <a:off x="4095750" y="11430000"/>
          <a:ext cx="107950" cy="56515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>
    <xdr:from>
      <xdr:col>3</xdr:col>
      <xdr:colOff>514350</xdr:colOff>
      <xdr:row>57</xdr:row>
      <xdr:rowOff>139700</xdr:rowOff>
    </xdr:from>
    <xdr:to>
      <xdr:col>4</xdr:col>
      <xdr:colOff>95250</xdr:colOff>
      <xdr:row>61</xdr:row>
      <xdr:rowOff>38100</xdr:rowOff>
    </xdr:to>
    <xdr:sp macro="" textlink="">
      <xdr:nvSpPr>
        <xdr:cNvPr id="59" name="Left Bracket 58"/>
        <xdr:cNvSpPr/>
      </xdr:nvSpPr>
      <xdr:spPr>
        <a:xfrm>
          <a:off x="2641600" y="11410950"/>
          <a:ext cx="190500" cy="63500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133350</xdr:colOff>
      <xdr:row>61</xdr:row>
      <xdr:rowOff>146050</xdr:rowOff>
    </xdr:from>
    <xdr:to>
      <xdr:col>6</xdr:col>
      <xdr:colOff>247650</xdr:colOff>
      <xdr:row>65</xdr:row>
      <xdr:rowOff>19050</xdr:rowOff>
    </xdr:to>
    <xdr:sp macro="" textlink="">
      <xdr:nvSpPr>
        <xdr:cNvPr id="60" name="Right Bracket 59"/>
        <xdr:cNvSpPr/>
      </xdr:nvSpPr>
      <xdr:spPr>
        <a:xfrm>
          <a:off x="4089400" y="12153900"/>
          <a:ext cx="114300" cy="60960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>
    <xdr:from>
      <xdr:col>3</xdr:col>
      <xdr:colOff>571500</xdr:colOff>
      <xdr:row>61</xdr:row>
      <xdr:rowOff>158750</xdr:rowOff>
    </xdr:from>
    <xdr:to>
      <xdr:col>4</xdr:col>
      <xdr:colOff>152400</xdr:colOff>
      <xdr:row>65</xdr:row>
      <xdr:rowOff>57150</xdr:rowOff>
    </xdr:to>
    <xdr:sp macro="" textlink="">
      <xdr:nvSpPr>
        <xdr:cNvPr id="61" name="Left Bracket 60"/>
        <xdr:cNvSpPr/>
      </xdr:nvSpPr>
      <xdr:spPr>
        <a:xfrm>
          <a:off x="2698750" y="12166600"/>
          <a:ext cx="190500" cy="63500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3</xdr:col>
      <xdr:colOff>107950</xdr:colOff>
      <xdr:row>71</xdr:row>
      <xdr:rowOff>76200</xdr:rowOff>
    </xdr:from>
    <xdr:to>
      <xdr:col>4</xdr:col>
      <xdr:colOff>158750</xdr:colOff>
      <xdr:row>73</xdr:row>
      <xdr:rowOff>82550</xdr:rowOff>
    </xdr:to>
    <xdr:pic>
      <xdr:nvPicPr>
        <xdr:cNvPr id="64" name="Picture 63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200" y="13925550"/>
          <a:ext cx="660400" cy="374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330200</xdr:colOff>
      <xdr:row>70</xdr:row>
      <xdr:rowOff>139700</xdr:rowOff>
    </xdr:from>
    <xdr:to>
      <xdr:col>8</xdr:col>
      <xdr:colOff>444500</xdr:colOff>
      <xdr:row>74</xdr:row>
      <xdr:rowOff>0</xdr:rowOff>
    </xdr:to>
    <xdr:sp macro="" textlink="">
      <xdr:nvSpPr>
        <xdr:cNvPr id="65" name="Right Bracket 64"/>
        <xdr:cNvSpPr/>
      </xdr:nvSpPr>
      <xdr:spPr>
        <a:xfrm>
          <a:off x="5505450" y="13804900"/>
          <a:ext cx="114300" cy="60960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>
    <xdr:from>
      <xdr:col>5</xdr:col>
      <xdr:colOff>584200</xdr:colOff>
      <xdr:row>70</xdr:row>
      <xdr:rowOff>152400</xdr:rowOff>
    </xdr:from>
    <xdr:to>
      <xdr:col>6</xdr:col>
      <xdr:colOff>165100</xdr:colOff>
      <xdr:row>74</xdr:row>
      <xdr:rowOff>0</xdr:rowOff>
    </xdr:to>
    <xdr:sp macro="" textlink="">
      <xdr:nvSpPr>
        <xdr:cNvPr id="66" name="Left Bracket 65"/>
        <xdr:cNvSpPr/>
      </xdr:nvSpPr>
      <xdr:spPr>
        <a:xfrm>
          <a:off x="3930650" y="13817600"/>
          <a:ext cx="190500" cy="63500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4</xdr:col>
      <xdr:colOff>63500</xdr:colOff>
      <xdr:row>75</xdr:row>
      <xdr:rowOff>76200</xdr:rowOff>
    </xdr:from>
    <xdr:to>
      <xdr:col>4</xdr:col>
      <xdr:colOff>469900</xdr:colOff>
      <xdr:row>76</xdr:row>
      <xdr:rowOff>171450</xdr:rowOff>
    </xdr:to>
    <xdr:pic>
      <xdr:nvPicPr>
        <xdr:cNvPr id="69" name="Picture 68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14662150"/>
          <a:ext cx="4064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368300</xdr:colOff>
      <xdr:row>80</xdr:row>
      <xdr:rowOff>31750</xdr:rowOff>
    </xdr:from>
    <xdr:to>
      <xdr:col>4</xdr:col>
      <xdr:colOff>571500</xdr:colOff>
      <xdr:row>81</xdr:row>
      <xdr:rowOff>158750</xdr:rowOff>
    </xdr:to>
    <xdr:pic>
      <xdr:nvPicPr>
        <xdr:cNvPr id="70" name="Picture 69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15538450"/>
          <a:ext cx="14224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330200</xdr:colOff>
      <xdr:row>79</xdr:row>
      <xdr:rowOff>139700</xdr:rowOff>
    </xdr:from>
    <xdr:to>
      <xdr:col>8</xdr:col>
      <xdr:colOff>444500</xdr:colOff>
      <xdr:row>83</xdr:row>
      <xdr:rowOff>0</xdr:rowOff>
    </xdr:to>
    <xdr:sp macro="" textlink="">
      <xdr:nvSpPr>
        <xdr:cNvPr id="71" name="Right Bracket 70"/>
        <xdr:cNvSpPr/>
      </xdr:nvSpPr>
      <xdr:spPr>
        <a:xfrm>
          <a:off x="5505450" y="13804900"/>
          <a:ext cx="114300" cy="59690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>
    <xdr:from>
      <xdr:col>5</xdr:col>
      <xdr:colOff>584200</xdr:colOff>
      <xdr:row>79</xdr:row>
      <xdr:rowOff>152400</xdr:rowOff>
    </xdr:from>
    <xdr:to>
      <xdr:col>6</xdr:col>
      <xdr:colOff>165100</xdr:colOff>
      <xdr:row>83</xdr:row>
      <xdr:rowOff>0</xdr:rowOff>
    </xdr:to>
    <xdr:sp macro="" textlink="">
      <xdr:nvSpPr>
        <xdr:cNvPr id="72" name="Left Bracket 71"/>
        <xdr:cNvSpPr/>
      </xdr:nvSpPr>
      <xdr:spPr>
        <a:xfrm>
          <a:off x="3930650" y="13817600"/>
          <a:ext cx="190500" cy="58420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266700</xdr:colOff>
      <xdr:row>79</xdr:row>
      <xdr:rowOff>177800</xdr:rowOff>
    </xdr:from>
    <xdr:to>
      <xdr:col>9</xdr:col>
      <xdr:colOff>508000</xdr:colOff>
      <xdr:row>83</xdr:row>
      <xdr:rowOff>44450</xdr:rowOff>
    </xdr:to>
    <xdr:sp macro="" textlink="">
      <xdr:nvSpPr>
        <xdr:cNvPr id="77" name="Left Bracket 76"/>
        <xdr:cNvSpPr/>
      </xdr:nvSpPr>
      <xdr:spPr>
        <a:xfrm>
          <a:off x="6051550" y="15500350"/>
          <a:ext cx="241300" cy="60325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260350</xdr:colOff>
      <xdr:row>84</xdr:row>
      <xdr:rowOff>165100</xdr:rowOff>
    </xdr:from>
    <xdr:to>
      <xdr:col>6</xdr:col>
      <xdr:colOff>501650</xdr:colOff>
      <xdr:row>88</xdr:row>
      <xdr:rowOff>31750</xdr:rowOff>
    </xdr:to>
    <xdr:sp macro="" textlink="">
      <xdr:nvSpPr>
        <xdr:cNvPr id="79" name="Left Bracket 78"/>
        <xdr:cNvSpPr/>
      </xdr:nvSpPr>
      <xdr:spPr>
        <a:xfrm>
          <a:off x="4216400" y="16408400"/>
          <a:ext cx="241300" cy="60325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577850</xdr:colOff>
      <xdr:row>84</xdr:row>
      <xdr:rowOff>165100</xdr:rowOff>
    </xdr:from>
    <xdr:to>
      <xdr:col>7</xdr:col>
      <xdr:colOff>171450</xdr:colOff>
      <xdr:row>88</xdr:row>
      <xdr:rowOff>19050</xdr:rowOff>
    </xdr:to>
    <xdr:sp macro="" textlink="">
      <xdr:nvSpPr>
        <xdr:cNvPr id="80" name="Right Bracket 79"/>
        <xdr:cNvSpPr/>
      </xdr:nvSpPr>
      <xdr:spPr>
        <a:xfrm>
          <a:off x="4533900" y="16408400"/>
          <a:ext cx="203200" cy="59055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 editAs="oneCell">
    <xdr:from>
      <xdr:col>5</xdr:col>
      <xdr:colOff>298450</xdr:colOff>
      <xdr:row>84</xdr:row>
      <xdr:rowOff>165100</xdr:rowOff>
    </xdr:from>
    <xdr:to>
      <xdr:col>6</xdr:col>
      <xdr:colOff>114300</xdr:colOff>
      <xdr:row>87</xdr:row>
      <xdr:rowOff>88900</xdr:rowOff>
    </xdr:to>
    <xdr:pic>
      <xdr:nvPicPr>
        <xdr:cNvPr id="81" name="Picture 80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4900" y="16408400"/>
          <a:ext cx="4254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292100</xdr:colOff>
      <xdr:row>75</xdr:row>
      <xdr:rowOff>158750</xdr:rowOff>
    </xdr:from>
    <xdr:to>
      <xdr:col>6</xdr:col>
      <xdr:colOff>533400</xdr:colOff>
      <xdr:row>79</xdr:row>
      <xdr:rowOff>25400</xdr:rowOff>
    </xdr:to>
    <xdr:sp macro="" textlink="">
      <xdr:nvSpPr>
        <xdr:cNvPr id="82" name="Left Bracket 81"/>
        <xdr:cNvSpPr/>
      </xdr:nvSpPr>
      <xdr:spPr>
        <a:xfrm>
          <a:off x="4248150" y="14744700"/>
          <a:ext cx="241300" cy="60325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577850</xdr:colOff>
      <xdr:row>75</xdr:row>
      <xdr:rowOff>177800</xdr:rowOff>
    </xdr:from>
    <xdr:to>
      <xdr:col>7</xdr:col>
      <xdr:colOff>171450</xdr:colOff>
      <xdr:row>79</xdr:row>
      <xdr:rowOff>31750</xdr:rowOff>
    </xdr:to>
    <xdr:sp macro="" textlink="">
      <xdr:nvSpPr>
        <xdr:cNvPr id="83" name="Right Bracket 82"/>
        <xdr:cNvSpPr/>
      </xdr:nvSpPr>
      <xdr:spPr>
        <a:xfrm>
          <a:off x="5143500" y="6438900"/>
          <a:ext cx="203200" cy="59055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>
    <xdr:from>
      <xdr:col>9</xdr:col>
      <xdr:colOff>577850</xdr:colOff>
      <xdr:row>79</xdr:row>
      <xdr:rowOff>177800</xdr:rowOff>
    </xdr:from>
    <xdr:to>
      <xdr:col>10</xdr:col>
      <xdr:colOff>171450</xdr:colOff>
      <xdr:row>83</xdr:row>
      <xdr:rowOff>31750</xdr:rowOff>
    </xdr:to>
    <xdr:sp macro="" textlink="">
      <xdr:nvSpPr>
        <xdr:cNvPr id="85" name="Right Bracket 84"/>
        <xdr:cNvSpPr/>
      </xdr:nvSpPr>
      <xdr:spPr>
        <a:xfrm>
          <a:off x="4533900" y="14763750"/>
          <a:ext cx="203200" cy="59055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 editAs="oneCell">
    <xdr:from>
      <xdr:col>8</xdr:col>
      <xdr:colOff>292100</xdr:colOff>
      <xdr:row>84</xdr:row>
      <xdr:rowOff>31750</xdr:rowOff>
    </xdr:from>
    <xdr:to>
      <xdr:col>11</xdr:col>
      <xdr:colOff>425450</xdr:colOff>
      <xdr:row>89</xdr:row>
      <xdr:rowOff>19050</xdr:rowOff>
    </xdr:to>
    <xdr:pic>
      <xdr:nvPicPr>
        <xdr:cNvPr id="86" name="Picture 85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16275050"/>
          <a:ext cx="1962150" cy="908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266700</xdr:colOff>
      <xdr:row>90</xdr:row>
      <xdr:rowOff>152400</xdr:rowOff>
    </xdr:from>
    <xdr:to>
      <xdr:col>8</xdr:col>
      <xdr:colOff>412750</xdr:colOff>
      <xdr:row>92</xdr:row>
      <xdr:rowOff>101600</xdr:rowOff>
    </xdr:to>
    <xdr:pic>
      <xdr:nvPicPr>
        <xdr:cNvPr id="87" name="Picture 86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4350" y="17500600"/>
          <a:ext cx="380365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577850</xdr:colOff>
      <xdr:row>57</xdr:row>
      <xdr:rowOff>146050</xdr:rowOff>
    </xdr:from>
    <xdr:to>
      <xdr:col>7</xdr:col>
      <xdr:colOff>158750</xdr:colOff>
      <xdr:row>61</xdr:row>
      <xdr:rowOff>44450</xdr:rowOff>
    </xdr:to>
    <xdr:sp macro="" textlink="">
      <xdr:nvSpPr>
        <xdr:cNvPr id="92" name="Left Bracket 91"/>
        <xdr:cNvSpPr/>
      </xdr:nvSpPr>
      <xdr:spPr>
        <a:xfrm>
          <a:off x="4533900" y="11417300"/>
          <a:ext cx="190500" cy="63500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234950</xdr:colOff>
      <xdr:row>58</xdr:row>
      <xdr:rowOff>12700</xdr:rowOff>
    </xdr:from>
    <xdr:to>
      <xdr:col>9</xdr:col>
      <xdr:colOff>342900</xdr:colOff>
      <xdr:row>61</xdr:row>
      <xdr:rowOff>25400</xdr:rowOff>
    </xdr:to>
    <xdr:sp macro="" textlink="">
      <xdr:nvSpPr>
        <xdr:cNvPr id="93" name="Right Bracket 92"/>
        <xdr:cNvSpPr/>
      </xdr:nvSpPr>
      <xdr:spPr>
        <a:xfrm>
          <a:off x="6019800" y="11468100"/>
          <a:ext cx="107950" cy="56515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>
    <xdr:from>
      <xdr:col>7</xdr:col>
      <xdr:colOff>336550</xdr:colOff>
      <xdr:row>62</xdr:row>
      <xdr:rowOff>57150</xdr:rowOff>
    </xdr:from>
    <xdr:to>
      <xdr:col>8</xdr:col>
      <xdr:colOff>177800</xdr:colOff>
      <xdr:row>63</xdr:row>
      <xdr:rowOff>152400</xdr:rowOff>
    </xdr:to>
    <xdr:sp macro="" textlink="">
      <xdr:nvSpPr>
        <xdr:cNvPr id="94" name="Diamond 93"/>
        <xdr:cNvSpPr/>
      </xdr:nvSpPr>
      <xdr:spPr>
        <a:xfrm>
          <a:off x="4902200" y="12249150"/>
          <a:ext cx="450850" cy="279400"/>
        </a:xfrm>
        <a:prstGeom prst="diamond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95250</xdr:colOff>
      <xdr:row>1</xdr:row>
      <xdr:rowOff>19050</xdr:rowOff>
    </xdr:from>
    <xdr:to>
      <xdr:col>14</xdr:col>
      <xdr:colOff>596900</xdr:colOff>
      <xdr:row>6</xdr:row>
      <xdr:rowOff>31750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50" y="203200"/>
          <a:ext cx="3549650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539750</xdr:colOff>
      <xdr:row>11</xdr:row>
      <xdr:rowOff>171450</xdr:rowOff>
    </xdr:from>
    <xdr:to>
      <xdr:col>2</xdr:col>
      <xdr:colOff>171450</xdr:colOff>
      <xdr:row>15</xdr:row>
      <xdr:rowOff>38100</xdr:rowOff>
    </xdr:to>
    <xdr:sp macro="" textlink="">
      <xdr:nvSpPr>
        <xdr:cNvPr id="4" name="Left Bracket 3"/>
        <xdr:cNvSpPr/>
      </xdr:nvSpPr>
      <xdr:spPr>
        <a:xfrm>
          <a:off x="1149350" y="2381250"/>
          <a:ext cx="241300" cy="60325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228600</xdr:colOff>
      <xdr:row>11</xdr:row>
      <xdr:rowOff>177800</xdr:rowOff>
    </xdr:from>
    <xdr:to>
      <xdr:col>4</xdr:col>
      <xdr:colOff>431800</xdr:colOff>
      <xdr:row>15</xdr:row>
      <xdr:rowOff>31750</xdr:rowOff>
    </xdr:to>
    <xdr:sp macro="" textlink="">
      <xdr:nvSpPr>
        <xdr:cNvPr id="5" name="Right Bracket 4"/>
        <xdr:cNvSpPr/>
      </xdr:nvSpPr>
      <xdr:spPr>
        <a:xfrm>
          <a:off x="2667000" y="2387600"/>
          <a:ext cx="203200" cy="59055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 editAs="oneCell">
    <xdr:from>
      <xdr:col>0</xdr:col>
      <xdr:colOff>527050</xdr:colOff>
      <xdr:row>21</xdr:row>
      <xdr:rowOff>133350</xdr:rowOff>
    </xdr:from>
    <xdr:to>
      <xdr:col>2</xdr:col>
      <xdr:colOff>152400</xdr:colOff>
      <xdr:row>23</xdr:row>
      <xdr:rowOff>57150</xdr:rowOff>
    </xdr:to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050" y="3816350"/>
          <a:ext cx="84455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266700</xdr:colOff>
      <xdr:row>15</xdr:row>
      <xdr:rowOff>177800</xdr:rowOff>
    </xdr:from>
    <xdr:to>
      <xdr:col>2</xdr:col>
      <xdr:colOff>508000</xdr:colOff>
      <xdr:row>19</xdr:row>
      <xdr:rowOff>44450</xdr:rowOff>
    </xdr:to>
    <xdr:sp macro="" textlink="">
      <xdr:nvSpPr>
        <xdr:cNvPr id="7" name="Left Bracket 6"/>
        <xdr:cNvSpPr/>
      </xdr:nvSpPr>
      <xdr:spPr>
        <a:xfrm>
          <a:off x="1485900" y="2755900"/>
          <a:ext cx="241300" cy="60325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565150</xdr:colOff>
      <xdr:row>16</xdr:row>
      <xdr:rowOff>0</xdr:rowOff>
    </xdr:from>
    <xdr:to>
      <xdr:col>5</xdr:col>
      <xdr:colOff>158750</xdr:colOff>
      <xdr:row>19</xdr:row>
      <xdr:rowOff>38100</xdr:rowOff>
    </xdr:to>
    <xdr:sp macro="" textlink="">
      <xdr:nvSpPr>
        <xdr:cNvPr id="8" name="Right Bracket 7"/>
        <xdr:cNvSpPr/>
      </xdr:nvSpPr>
      <xdr:spPr>
        <a:xfrm>
          <a:off x="3003550" y="2762250"/>
          <a:ext cx="203200" cy="59055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>
    <xdr:from>
      <xdr:col>5</xdr:col>
      <xdr:colOff>406400</xdr:colOff>
      <xdr:row>12</xdr:row>
      <xdr:rowOff>6350</xdr:rowOff>
    </xdr:from>
    <xdr:to>
      <xdr:col>6</xdr:col>
      <xdr:colOff>38100</xdr:colOff>
      <xdr:row>15</xdr:row>
      <xdr:rowOff>57150</xdr:rowOff>
    </xdr:to>
    <xdr:sp macro="" textlink="">
      <xdr:nvSpPr>
        <xdr:cNvPr id="9" name="Left Bracket 8"/>
        <xdr:cNvSpPr/>
      </xdr:nvSpPr>
      <xdr:spPr>
        <a:xfrm>
          <a:off x="3454400" y="2032000"/>
          <a:ext cx="241300" cy="60325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336550</xdr:colOff>
      <xdr:row>12</xdr:row>
      <xdr:rowOff>12700</xdr:rowOff>
    </xdr:from>
    <xdr:to>
      <xdr:col>6</xdr:col>
      <xdr:colOff>539750</xdr:colOff>
      <xdr:row>15</xdr:row>
      <xdr:rowOff>50800</xdr:rowOff>
    </xdr:to>
    <xdr:sp macro="" textlink="">
      <xdr:nvSpPr>
        <xdr:cNvPr id="10" name="Right Bracket 9"/>
        <xdr:cNvSpPr/>
      </xdr:nvSpPr>
      <xdr:spPr>
        <a:xfrm>
          <a:off x="3994150" y="2038350"/>
          <a:ext cx="203200" cy="59055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>
    <xdr:from>
      <xdr:col>6</xdr:col>
      <xdr:colOff>50800</xdr:colOff>
      <xdr:row>16</xdr:row>
      <xdr:rowOff>0</xdr:rowOff>
    </xdr:from>
    <xdr:to>
      <xdr:col>6</xdr:col>
      <xdr:colOff>292100</xdr:colOff>
      <xdr:row>19</xdr:row>
      <xdr:rowOff>50800</xdr:rowOff>
    </xdr:to>
    <xdr:sp macro="" textlink="">
      <xdr:nvSpPr>
        <xdr:cNvPr id="11" name="Left Bracket 10"/>
        <xdr:cNvSpPr/>
      </xdr:nvSpPr>
      <xdr:spPr>
        <a:xfrm>
          <a:off x="3708400" y="2762250"/>
          <a:ext cx="241300" cy="60325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368300</xdr:colOff>
      <xdr:row>16</xdr:row>
      <xdr:rowOff>0</xdr:rowOff>
    </xdr:from>
    <xdr:to>
      <xdr:col>6</xdr:col>
      <xdr:colOff>571500</xdr:colOff>
      <xdr:row>19</xdr:row>
      <xdr:rowOff>38100</xdr:rowOff>
    </xdr:to>
    <xdr:sp macro="" textlink="">
      <xdr:nvSpPr>
        <xdr:cNvPr id="12" name="Right Bracket 11"/>
        <xdr:cNvSpPr/>
      </xdr:nvSpPr>
      <xdr:spPr>
        <a:xfrm>
          <a:off x="4025900" y="2762250"/>
          <a:ext cx="203200" cy="59055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>
    <xdr:from>
      <xdr:col>3</xdr:col>
      <xdr:colOff>285750</xdr:colOff>
      <xdr:row>20</xdr:row>
      <xdr:rowOff>177800</xdr:rowOff>
    </xdr:from>
    <xdr:to>
      <xdr:col>3</xdr:col>
      <xdr:colOff>527050</xdr:colOff>
      <xdr:row>24</xdr:row>
      <xdr:rowOff>44450</xdr:rowOff>
    </xdr:to>
    <xdr:sp macro="" textlink="">
      <xdr:nvSpPr>
        <xdr:cNvPr id="13" name="Left Bracket 12"/>
        <xdr:cNvSpPr/>
      </xdr:nvSpPr>
      <xdr:spPr>
        <a:xfrm>
          <a:off x="2114550" y="4044950"/>
          <a:ext cx="241300" cy="60325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565150</xdr:colOff>
      <xdr:row>21</xdr:row>
      <xdr:rowOff>0</xdr:rowOff>
    </xdr:from>
    <xdr:to>
      <xdr:col>6</xdr:col>
      <xdr:colOff>158750</xdr:colOff>
      <xdr:row>24</xdr:row>
      <xdr:rowOff>38100</xdr:rowOff>
    </xdr:to>
    <xdr:sp macro="" textlink="">
      <xdr:nvSpPr>
        <xdr:cNvPr id="14" name="Right Bracket 13"/>
        <xdr:cNvSpPr/>
      </xdr:nvSpPr>
      <xdr:spPr>
        <a:xfrm>
          <a:off x="3003550" y="2762250"/>
          <a:ext cx="203200" cy="59055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>
    <xdr:from>
      <xdr:col>7</xdr:col>
      <xdr:colOff>50800</xdr:colOff>
      <xdr:row>21</xdr:row>
      <xdr:rowOff>0</xdr:rowOff>
    </xdr:from>
    <xdr:to>
      <xdr:col>7</xdr:col>
      <xdr:colOff>292100</xdr:colOff>
      <xdr:row>24</xdr:row>
      <xdr:rowOff>50800</xdr:rowOff>
    </xdr:to>
    <xdr:sp macro="" textlink="">
      <xdr:nvSpPr>
        <xdr:cNvPr id="15" name="Left Bracket 14"/>
        <xdr:cNvSpPr/>
      </xdr:nvSpPr>
      <xdr:spPr>
        <a:xfrm>
          <a:off x="4318000" y="3683000"/>
          <a:ext cx="241300" cy="60325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368300</xdr:colOff>
      <xdr:row>21</xdr:row>
      <xdr:rowOff>0</xdr:rowOff>
    </xdr:from>
    <xdr:to>
      <xdr:col>7</xdr:col>
      <xdr:colOff>571500</xdr:colOff>
      <xdr:row>24</xdr:row>
      <xdr:rowOff>38100</xdr:rowOff>
    </xdr:to>
    <xdr:sp macro="" textlink="">
      <xdr:nvSpPr>
        <xdr:cNvPr id="16" name="Right Bracket 15"/>
        <xdr:cNvSpPr/>
      </xdr:nvSpPr>
      <xdr:spPr>
        <a:xfrm>
          <a:off x="4025900" y="2762250"/>
          <a:ext cx="203200" cy="59055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 editAs="oneCell">
    <xdr:from>
      <xdr:col>6</xdr:col>
      <xdr:colOff>127000</xdr:colOff>
      <xdr:row>20</xdr:row>
      <xdr:rowOff>6350</xdr:rowOff>
    </xdr:from>
    <xdr:to>
      <xdr:col>6</xdr:col>
      <xdr:colOff>323850</xdr:colOff>
      <xdr:row>21</xdr:row>
      <xdr:rowOff>31750</xdr:rowOff>
    </xdr:to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4600" y="3505200"/>
          <a:ext cx="1968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292100</xdr:colOff>
      <xdr:row>27</xdr:row>
      <xdr:rowOff>152400</xdr:rowOff>
    </xdr:from>
    <xdr:to>
      <xdr:col>4</xdr:col>
      <xdr:colOff>463550</xdr:colOff>
      <xdr:row>30</xdr:row>
      <xdr:rowOff>25400</xdr:rowOff>
    </xdr:to>
    <xdr:sp macro="" textlink="">
      <xdr:nvSpPr>
        <xdr:cNvPr id="18" name="Left Bracket 17"/>
        <xdr:cNvSpPr/>
      </xdr:nvSpPr>
      <xdr:spPr>
        <a:xfrm>
          <a:off x="3028950" y="9582150"/>
          <a:ext cx="171450" cy="42545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260350</xdr:colOff>
      <xdr:row>28</xdr:row>
      <xdr:rowOff>0</xdr:rowOff>
    </xdr:from>
    <xdr:to>
      <xdr:col>6</xdr:col>
      <xdr:colOff>406400</xdr:colOff>
      <xdr:row>30</xdr:row>
      <xdr:rowOff>50800</xdr:rowOff>
    </xdr:to>
    <xdr:sp macro="" textlink="">
      <xdr:nvSpPr>
        <xdr:cNvPr id="19" name="Right Bracket 18"/>
        <xdr:cNvSpPr/>
      </xdr:nvSpPr>
      <xdr:spPr>
        <a:xfrm>
          <a:off x="4216400" y="9613900"/>
          <a:ext cx="146050" cy="41910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>
    <xdr:from>
      <xdr:col>6</xdr:col>
      <xdr:colOff>260350</xdr:colOff>
      <xdr:row>32</xdr:row>
      <xdr:rowOff>0</xdr:rowOff>
    </xdr:from>
    <xdr:to>
      <xdr:col>6</xdr:col>
      <xdr:colOff>406400</xdr:colOff>
      <xdr:row>34</xdr:row>
      <xdr:rowOff>50800</xdr:rowOff>
    </xdr:to>
    <xdr:sp macro="" textlink="">
      <xdr:nvSpPr>
        <xdr:cNvPr id="20" name="Right Bracket 19"/>
        <xdr:cNvSpPr/>
      </xdr:nvSpPr>
      <xdr:spPr>
        <a:xfrm>
          <a:off x="4216400" y="10350500"/>
          <a:ext cx="146050" cy="41910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>
    <xdr:from>
      <xdr:col>4</xdr:col>
      <xdr:colOff>323850</xdr:colOff>
      <xdr:row>32</xdr:row>
      <xdr:rowOff>12700</xdr:rowOff>
    </xdr:from>
    <xdr:to>
      <xdr:col>4</xdr:col>
      <xdr:colOff>495300</xdr:colOff>
      <xdr:row>34</xdr:row>
      <xdr:rowOff>69850</xdr:rowOff>
    </xdr:to>
    <xdr:sp macro="" textlink="">
      <xdr:nvSpPr>
        <xdr:cNvPr id="21" name="Left Bracket 20"/>
        <xdr:cNvSpPr/>
      </xdr:nvSpPr>
      <xdr:spPr>
        <a:xfrm>
          <a:off x="3060700" y="10363200"/>
          <a:ext cx="171450" cy="42545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260350</xdr:colOff>
      <xdr:row>35</xdr:row>
      <xdr:rowOff>0</xdr:rowOff>
    </xdr:from>
    <xdr:to>
      <xdr:col>6</xdr:col>
      <xdr:colOff>406400</xdr:colOff>
      <xdr:row>37</xdr:row>
      <xdr:rowOff>50800</xdr:rowOff>
    </xdr:to>
    <xdr:sp macro="" textlink="">
      <xdr:nvSpPr>
        <xdr:cNvPr id="22" name="Right Bracket 21"/>
        <xdr:cNvSpPr/>
      </xdr:nvSpPr>
      <xdr:spPr>
        <a:xfrm>
          <a:off x="4216400" y="10902950"/>
          <a:ext cx="146050" cy="41910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>
    <xdr:from>
      <xdr:col>4</xdr:col>
      <xdr:colOff>323850</xdr:colOff>
      <xdr:row>35</xdr:row>
      <xdr:rowOff>12700</xdr:rowOff>
    </xdr:from>
    <xdr:to>
      <xdr:col>4</xdr:col>
      <xdr:colOff>495300</xdr:colOff>
      <xdr:row>37</xdr:row>
      <xdr:rowOff>69850</xdr:rowOff>
    </xdr:to>
    <xdr:sp macro="" textlink="">
      <xdr:nvSpPr>
        <xdr:cNvPr id="23" name="Left Bracket 22"/>
        <xdr:cNvSpPr/>
      </xdr:nvSpPr>
      <xdr:spPr>
        <a:xfrm>
          <a:off x="3060700" y="10915650"/>
          <a:ext cx="171450" cy="42545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292100</xdr:colOff>
      <xdr:row>27</xdr:row>
      <xdr:rowOff>152400</xdr:rowOff>
    </xdr:from>
    <xdr:to>
      <xdr:col>10</xdr:col>
      <xdr:colOff>463550</xdr:colOff>
      <xdr:row>30</xdr:row>
      <xdr:rowOff>25400</xdr:rowOff>
    </xdr:to>
    <xdr:sp macro="" textlink="">
      <xdr:nvSpPr>
        <xdr:cNvPr id="24" name="Left Bracket 23"/>
        <xdr:cNvSpPr/>
      </xdr:nvSpPr>
      <xdr:spPr>
        <a:xfrm>
          <a:off x="6686550" y="9582150"/>
          <a:ext cx="171450" cy="42545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260350</xdr:colOff>
      <xdr:row>28</xdr:row>
      <xdr:rowOff>0</xdr:rowOff>
    </xdr:from>
    <xdr:to>
      <xdr:col>12</xdr:col>
      <xdr:colOff>406400</xdr:colOff>
      <xdr:row>30</xdr:row>
      <xdr:rowOff>50800</xdr:rowOff>
    </xdr:to>
    <xdr:sp macro="" textlink="">
      <xdr:nvSpPr>
        <xdr:cNvPr id="25" name="Right Bracket 24"/>
        <xdr:cNvSpPr/>
      </xdr:nvSpPr>
      <xdr:spPr>
        <a:xfrm>
          <a:off x="7874000" y="9613900"/>
          <a:ext cx="146050" cy="41910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>
    <xdr:from>
      <xdr:col>12</xdr:col>
      <xdr:colOff>260350</xdr:colOff>
      <xdr:row>32</xdr:row>
      <xdr:rowOff>0</xdr:rowOff>
    </xdr:from>
    <xdr:to>
      <xdr:col>12</xdr:col>
      <xdr:colOff>406400</xdr:colOff>
      <xdr:row>34</xdr:row>
      <xdr:rowOff>50800</xdr:rowOff>
    </xdr:to>
    <xdr:sp macro="" textlink="">
      <xdr:nvSpPr>
        <xdr:cNvPr id="26" name="Right Bracket 25"/>
        <xdr:cNvSpPr/>
      </xdr:nvSpPr>
      <xdr:spPr>
        <a:xfrm>
          <a:off x="7874000" y="10350500"/>
          <a:ext cx="146050" cy="41910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>
    <xdr:from>
      <xdr:col>10</xdr:col>
      <xdr:colOff>323850</xdr:colOff>
      <xdr:row>32</xdr:row>
      <xdr:rowOff>12700</xdr:rowOff>
    </xdr:from>
    <xdr:to>
      <xdr:col>10</xdr:col>
      <xdr:colOff>495300</xdr:colOff>
      <xdr:row>34</xdr:row>
      <xdr:rowOff>69850</xdr:rowOff>
    </xdr:to>
    <xdr:sp macro="" textlink="">
      <xdr:nvSpPr>
        <xdr:cNvPr id="27" name="Left Bracket 26"/>
        <xdr:cNvSpPr/>
      </xdr:nvSpPr>
      <xdr:spPr>
        <a:xfrm>
          <a:off x="6718300" y="10363200"/>
          <a:ext cx="171450" cy="42545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260350</xdr:colOff>
      <xdr:row>35</xdr:row>
      <xdr:rowOff>0</xdr:rowOff>
    </xdr:from>
    <xdr:to>
      <xdr:col>12</xdr:col>
      <xdr:colOff>406400</xdr:colOff>
      <xdr:row>37</xdr:row>
      <xdr:rowOff>50800</xdr:rowOff>
    </xdr:to>
    <xdr:sp macro="" textlink="">
      <xdr:nvSpPr>
        <xdr:cNvPr id="28" name="Right Bracket 27"/>
        <xdr:cNvSpPr/>
      </xdr:nvSpPr>
      <xdr:spPr>
        <a:xfrm>
          <a:off x="7874000" y="10902950"/>
          <a:ext cx="146050" cy="41910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>
    <xdr:from>
      <xdr:col>10</xdr:col>
      <xdr:colOff>323850</xdr:colOff>
      <xdr:row>35</xdr:row>
      <xdr:rowOff>12700</xdr:rowOff>
    </xdr:from>
    <xdr:to>
      <xdr:col>10</xdr:col>
      <xdr:colOff>495300</xdr:colOff>
      <xdr:row>37</xdr:row>
      <xdr:rowOff>69850</xdr:rowOff>
    </xdr:to>
    <xdr:sp macro="" textlink="">
      <xdr:nvSpPr>
        <xdr:cNvPr id="29" name="Left Bracket 28"/>
        <xdr:cNvSpPr/>
      </xdr:nvSpPr>
      <xdr:spPr>
        <a:xfrm>
          <a:off x="6718300" y="10915650"/>
          <a:ext cx="171450" cy="42545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292100</xdr:colOff>
      <xdr:row>27</xdr:row>
      <xdr:rowOff>152400</xdr:rowOff>
    </xdr:from>
    <xdr:to>
      <xdr:col>16</xdr:col>
      <xdr:colOff>463550</xdr:colOff>
      <xdr:row>30</xdr:row>
      <xdr:rowOff>25400</xdr:rowOff>
    </xdr:to>
    <xdr:sp macro="" textlink="">
      <xdr:nvSpPr>
        <xdr:cNvPr id="30" name="Left Bracket 29"/>
        <xdr:cNvSpPr/>
      </xdr:nvSpPr>
      <xdr:spPr>
        <a:xfrm>
          <a:off x="10344150" y="9582150"/>
          <a:ext cx="171450" cy="42545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260350</xdr:colOff>
      <xdr:row>28</xdr:row>
      <xdr:rowOff>0</xdr:rowOff>
    </xdr:from>
    <xdr:to>
      <xdr:col>18</xdr:col>
      <xdr:colOff>406400</xdr:colOff>
      <xdr:row>30</xdr:row>
      <xdr:rowOff>50800</xdr:rowOff>
    </xdr:to>
    <xdr:sp macro="" textlink="">
      <xdr:nvSpPr>
        <xdr:cNvPr id="31" name="Right Bracket 30"/>
        <xdr:cNvSpPr/>
      </xdr:nvSpPr>
      <xdr:spPr>
        <a:xfrm>
          <a:off x="11531600" y="9613900"/>
          <a:ext cx="146050" cy="41910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>
    <xdr:from>
      <xdr:col>18</xdr:col>
      <xdr:colOff>260350</xdr:colOff>
      <xdr:row>32</xdr:row>
      <xdr:rowOff>0</xdr:rowOff>
    </xdr:from>
    <xdr:to>
      <xdr:col>18</xdr:col>
      <xdr:colOff>406400</xdr:colOff>
      <xdr:row>34</xdr:row>
      <xdr:rowOff>50800</xdr:rowOff>
    </xdr:to>
    <xdr:sp macro="" textlink="">
      <xdr:nvSpPr>
        <xdr:cNvPr id="32" name="Right Bracket 31"/>
        <xdr:cNvSpPr/>
      </xdr:nvSpPr>
      <xdr:spPr>
        <a:xfrm>
          <a:off x="11531600" y="10350500"/>
          <a:ext cx="146050" cy="41910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>
    <xdr:from>
      <xdr:col>16</xdr:col>
      <xdr:colOff>323850</xdr:colOff>
      <xdr:row>32</xdr:row>
      <xdr:rowOff>12700</xdr:rowOff>
    </xdr:from>
    <xdr:to>
      <xdr:col>16</xdr:col>
      <xdr:colOff>495300</xdr:colOff>
      <xdr:row>34</xdr:row>
      <xdr:rowOff>69850</xdr:rowOff>
    </xdr:to>
    <xdr:sp macro="" textlink="">
      <xdr:nvSpPr>
        <xdr:cNvPr id="33" name="Left Bracket 32"/>
        <xdr:cNvSpPr/>
      </xdr:nvSpPr>
      <xdr:spPr>
        <a:xfrm>
          <a:off x="10375900" y="10363200"/>
          <a:ext cx="171450" cy="42545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260350</xdr:colOff>
      <xdr:row>35</xdr:row>
      <xdr:rowOff>0</xdr:rowOff>
    </xdr:from>
    <xdr:to>
      <xdr:col>18</xdr:col>
      <xdr:colOff>406400</xdr:colOff>
      <xdr:row>37</xdr:row>
      <xdr:rowOff>50800</xdr:rowOff>
    </xdr:to>
    <xdr:sp macro="" textlink="">
      <xdr:nvSpPr>
        <xdr:cNvPr id="34" name="Right Bracket 33"/>
        <xdr:cNvSpPr/>
      </xdr:nvSpPr>
      <xdr:spPr>
        <a:xfrm>
          <a:off x="11531600" y="10902950"/>
          <a:ext cx="146050" cy="41910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>
    <xdr:from>
      <xdr:col>16</xdr:col>
      <xdr:colOff>323850</xdr:colOff>
      <xdr:row>35</xdr:row>
      <xdr:rowOff>12700</xdr:rowOff>
    </xdr:from>
    <xdr:to>
      <xdr:col>16</xdr:col>
      <xdr:colOff>495300</xdr:colOff>
      <xdr:row>37</xdr:row>
      <xdr:rowOff>69850</xdr:rowOff>
    </xdr:to>
    <xdr:sp macro="" textlink="">
      <xdr:nvSpPr>
        <xdr:cNvPr id="35" name="Left Bracket 34"/>
        <xdr:cNvSpPr/>
      </xdr:nvSpPr>
      <xdr:spPr>
        <a:xfrm>
          <a:off x="10375900" y="10915650"/>
          <a:ext cx="171450" cy="42545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292100</xdr:colOff>
      <xdr:row>42</xdr:row>
      <xdr:rowOff>171450</xdr:rowOff>
    </xdr:from>
    <xdr:to>
      <xdr:col>2</xdr:col>
      <xdr:colOff>311150</xdr:colOff>
      <xdr:row>48</xdr:row>
      <xdr:rowOff>44450</xdr:rowOff>
    </xdr:to>
    <xdr:pic>
      <xdr:nvPicPr>
        <xdr:cNvPr id="36" name="Picture 35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1995150"/>
          <a:ext cx="1238250" cy="977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139700</xdr:colOff>
      <xdr:row>39</xdr:row>
      <xdr:rowOff>158750</xdr:rowOff>
    </xdr:from>
    <xdr:to>
      <xdr:col>5</xdr:col>
      <xdr:colOff>247650</xdr:colOff>
      <xdr:row>42</xdr:row>
      <xdr:rowOff>171450</xdr:rowOff>
    </xdr:to>
    <xdr:sp macro="" textlink="">
      <xdr:nvSpPr>
        <xdr:cNvPr id="37" name="Right Bracket 36"/>
        <xdr:cNvSpPr/>
      </xdr:nvSpPr>
      <xdr:spPr>
        <a:xfrm>
          <a:off x="4095750" y="11430000"/>
          <a:ext cx="107950" cy="56515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>
    <xdr:from>
      <xdr:col>2</xdr:col>
      <xdr:colOff>514350</xdr:colOff>
      <xdr:row>39</xdr:row>
      <xdr:rowOff>139700</xdr:rowOff>
    </xdr:from>
    <xdr:to>
      <xdr:col>3</xdr:col>
      <xdr:colOff>95250</xdr:colOff>
      <xdr:row>43</xdr:row>
      <xdr:rowOff>38100</xdr:rowOff>
    </xdr:to>
    <xdr:sp macro="" textlink="">
      <xdr:nvSpPr>
        <xdr:cNvPr id="38" name="Left Bracket 37"/>
        <xdr:cNvSpPr/>
      </xdr:nvSpPr>
      <xdr:spPr>
        <a:xfrm>
          <a:off x="2641600" y="11410950"/>
          <a:ext cx="190500" cy="63500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184150</xdr:colOff>
      <xdr:row>43</xdr:row>
      <xdr:rowOff>146050</xdr:rowOff>
    </xdr:from>
    <xdr:to>
      <xdr:col>5</xdr:col>
      <xdr:colOff>298450</xdr:colOff>
      <xdr:row>47</xdr:row>
      <xdr:rowOff>19050</xdr:rowOff>
    </xdr:to>
    <xdr:sp macro="" textlink="">
      <xdr:nvSpPr>
        <xdr:cNvPr id="39" name="Right Bracket 38"/>
        <xdr:cNvSpPr/>
      </xdr:nvSpPr>
      <xdr:spPr>
        <a:xfrm>
          <a:off x="3232150" y="7880350"/>
          <a:ext cx="114300" cy="60960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>
    <xdr:from>
      <xdr:col>2</xdr:col>
      <xdr:colOff>571500</xdr:colOff>
      <xdr:row>43</xdr:row>
      <xdr:rowOff>158750</xdr:rowOff>
    </xdr:from>
    <xdr:to>
      <xdr:col>3</xdr:col>
      <xdr:colOff>152400</xdr:colOff>
      <xdr:row>47</xdr:row>
      <xdr:rowOff>57150</xdr:rowOff>
    </xdr:to>
    <xdr:sp macro="" textlink="">
      <xdr:nvSpPr>
        <xdr:cNvPr id="40" name="Left Bracket 39"/>
        <xdr:cNvSpPr/>
      </xdr:nvSpPr>
      <xdr:spPr>
        <a:xfrm>
          <a:off x="2698750" y="12166600"/>
          <a:ext cx="190500" cy="63500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577850</xdr:colOff>
      <xdr:row>39</xdr:row>
      <xdr:rowOff>146050</xdr:rowOff>
    </xdr:from>
    <xdr:to>
      <xdr:col>6</xdr:col>
      <xdr:colOff>158750</xdr:colOff>
      <xdr:row>43</xdr:row>
      <xdr:rowOff>44450</xdr:rowOff>
    </xdr:to>
    <xdr:sp macro="" textlink="">
      <xdr:nvSpPr>
        <xdr:cNvPr id="41" name="Left Bracket 40"/>
        <xdr:cNvSpPr/>
      </xdr:nvSpPr>
      <xdr:spPr>
        <a:xfrm>
          <a:off x="4533900" y="11417300"/>
          <a:ext cx="190500" cy="63500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234950</xdr:colOff>
      <xdr:row>40</xdr:row>
      <xdr:rowOff>12700</xdr:rowOff>
    </xdr:from>
    <xdr:to>
      <xdr:col>8</xdr:col>
      <xdr:colOff>342900</xdr:colOff>
      <xdr:row>43</xdr:row>
      <xdr:rowOff>25400</xdr:rowOff>
    </xdr:to>
    <xdr:sp macro="" textlink="">
      <xdr:nvSpPr>
        <xdr:cNvPr id="42" name="Right Bracket 41"/>
        <xdr:cNvSpPr/>
      </xdr:nvSpPr>
      <xdr:spPr>
        <a:xfrm>
          <a:off x="6019800" y="11468100"/>
          <a:ext cx="107950" cy="56515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>
    <xdr:from>
      <xdr:col>7</xdr:col>
      <xdr:colOff>298450</xdr:colOff>
      <xdr:row>45</xdr:row>
      <xdr:rowOff>57150</xdr:rowOff>
    </xdr:from>
    <xdr:to>
      <xdr:col>8</xdr:col>
      <xdr:colOff>139700</xdr:colOff>
      <xdr:row>46</xdr:row>
      <xdr:rowOff>82550</xdr:rowOff>
    </xdr:to>
    <xdr:sp macro="" textlink="">
      <xdr:nvSpPr>
        <xdr:cNvPr id="43" name="Diamond 42"/>
        <xdr:cNvSpPr/>
      </xdr:nvSpPr>
      <xdr:spPr>
        <a:xfrm>
          <a:off x="4565650" y="8528050"/>
          <a:ext cx="450850" cy="209550"/>
        </a:xfrm>
        <a:prstGeom prst="diamond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438150</xdr:colOff>
      <xdr:row>54</xdr:row>
      <xdr:rowOff>158750</xdr:rowOff>
    </xdr:from>
    <xdr:to>
      <xdr:col>6</xdr:col>
      <xdr:colOff>552450</xdr:colOff>
      <xdr:row>58</xdr:row>
      <xdr:rowOff>0</xdr:rowOff>
    </xdr:to>
    <xdr:sp macro="" textlink="">
      <xdr:nvSpPr>
        <xdr:cNvPr id="44" name="Right Bracket 43"/>
        <xdr:cNvSpPr/>
      </xdr:nvSpPr>
      <xdr:spPr>
        <a:xfrm>
          <a:off x="4095750" y="9918700"/>
          <a:ext cx="114300" cy="60960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>
    <xdr:from>
      <xdr:col>3</xdr:col>
      <xdr:colOff>571500</xdr:colOff>
      <xdr:row>54</xdr:row>
      <xdr:rowOff>158750</xdr:rowOff>
    </xdr:from>
    <xdr:to>
      <xdr:col>4</xdr:col>
      <xdr:colOff>152400</xdr:colOff>
      <xdr:row>58</xdr:row>
      <xdr:rowOff>0</xdr:rowOff>
    </xdr:to>
    <xdr:sp macro="" textlink="">
      <xdr:nvSpPr>
        <xdr:cNvPr id="45" name="Left Bracket 44"/>
        <xdr:cNvSpPr/>
      </xdr:nvSpPr>
      <xdr:spPr>
        <a:xfrm>
          <a:off x="1790700" y="7893050"/>
          <a:ext cx="190500" cy="63500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215900</xdr:colOff>
      <xdr:row>62</xdr:row>
      <xdr:rowOff>158750</xdr:rowOff>
    </xdr:from>
    <xdr:to>
      <xdr:col>4</xdr:col>
      <xdr:colOff>457200</xdr:colOff>
      <xdr:row>66</xdr:row>
      <xdr:rowOff>25400</xdr:rowOff>
    </xdr:to>
    <xdr:sp macro="" textlink="">
      <xdr:nvSpPr>
        <xdr:cNvPr id="51" name="Left Bracket 50"/>
        <xdr:cNvSpPr/>
      </xdr:nvSpPr>
      <xdr:spPr>
        <a:xfrm>
          <a:off x="2654300" y="10839450"/>
          <a:ext cx="241300" cy="60325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533400</xdr:colOff>
      <xdr:row>62</xdr:row>
      <xdr:rowOff>158750</xdr:rowOff>
    </xdr:from>
    <xdr:to>
      <xdr:col>5</xdr:col>
      <xdr:colOff>127000</xdr:colOff>
      <xdr:row>66</xdr:row>
      <xdr:rowOff>12700</xdr:rowOff>
    </xdr:to>
    <xdr:sp macro="" textlink="">
      <xdr:nvSpPr>
        <xdr:cNvPr id="52" name="Right Bracket 51"/>
        <xdr:cNvSpPr/>
      </xdr:nvSpPr>
      <xdr:spPr>
        <a:xfrm>
          <a:off x="2971800" y="10839450"/>
          <a:ext cx="203200" cy="59055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>
    <xdr:from>
      <xdr:col>6</xdr:col>
      <xdr:colOff>438150</xdr:colOff>
      <xdr:row>58</xdr:row>
      <xdr:rowOff>158750</xdr:rowOff>
    </xdr:from>
    <xdr:to>
      <xdr:col>6</xdr:col>
      <xdr:colOff>552450</xdr:colOff>
      <xdr:row>62</xdr:row>
      <xdr:rowOff>0</xdr:rowOff>
    </xdr:to>
    <xdr:sp macro="" textlink="">
      <xdr:nvSpPr>
        <xdr:cNvPr id="55" name="Right Bracket 54"/>
        <xdr:cNvSpPr/>
      </xdr:nvSpPr>
      <xdr:spPr>
        <a:xfrm>
          <a:off x="4095750" y="9918700"/>
          <a:ext cx="114300" cy="60960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>
    <xdr:from>
      <xdr:col>3</xdr:col>
      <xdr:colOff>571500</xdr:colOff>
      <xdr:row>58</xdr:row>
      <xdr:rowOff>158750</xdr:rowOff>
    </xdr:from>
    <xdr:to>
      <xdr:col>4</xdr:col>
      <xdr:colOff>152400</xdr:colOff>
      <xdr:row>62</xdr:row>
      <xdr:rowOff>0</xdr:rowOff>
    </xdr:to>
    <xdr:sp macro="" textlink="">
      <xdr:nvSpPr>
        <xdr:cNvPr id="56" name="Left Bracket 55"/>
        <xdr:cNvSpPr/>
      </xdr:nvSpPr>
      <xdr:spPr>
        <a:xfrm>
          <a:off x="2400300" y="9918700"/>
          <a:ext cx="190500" cy="63500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59</xdr:row>
      <xdr:rowOff>0</xdr:rowOff>
    </xdr:from>
    <xdr:to>
      <xdr:col>7</xdr:col>
      <xdr:colOff>292100</xdr:colOff>
      <xdr:row>62</xdr:row>
      <xdr:rowOff>0</xdr:rowOff>
    </xdr:to>
    <xdr:sp macro="" textlink="">
      <xdr:nvSpPr>
        <xdr:cNvPr id="57" name="Left Bracket 56"/>
        <xdr:cNvSpPr/>
      </xdr:nvSpPr>
      <xdr:spPr>
        <a:xfrm>
          <a:off x="4318000" y="9944100"/>
          <a:ext cx="241300" cy="60325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368300</xdr:colOff>
      <xdr:row>59</xdr:row>
      <xdr:rowOff>0</xdr:rowOff>
    </xdr:from>
    <xdr:to>
      <xdr:col>7</xdr:col>
      <xdr:colOff>571500</xdr:colOff>
      <xdr:row>62</xdr:row>
      <xdr:rowOff>0</xdr:rowOff>
    </xdr:to>
    <xdr:sp macro="" textlink="">
      <xdr:nvSpPr>
        <xdr:cNvPr id="58" name="Right Bracket 57"/>
        <xdr:cNvSpPr/>
      </xdr:nvSpPr>
      <xdr:spPr>
        <a:xfrm>
          <a:off x="4635500" y="9944100"/>
          <a:ext cx="203200" cy="59055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 editAs="oneCell">
    <xdr:from>
      <xdr:col>1</xdr:col>
      <xdr:colOff>0</xdr:colOff>
      <xdr:row>0</xdr:row>
      <xdr:rowOff>0</xdr:rowOff>
    </xdr:from>
    <xdr:to>
      <xdr:col>4</xdr:col>
      <xdr:colOff>87086</xdr:colOff>
      <xdr:row>1</xdr:row>
      <xdr:rowOff>95250</xdr:rowOff>
    </xdr:to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0"/>
          <a:ext cx="1915886" cy="279400"/>
        </a:xfrm>
        <a:prstGeom prst="rect">
          <a:avLst/>
        </a:prstGeom>
      </xdr:spPr>
    </xdr:pic>
    <xdr:clientData/>
  </xdr:twoCellAnchor>
  <xdr:twoCellAnchor editAs="oneCell">
    <xdr:from>
      <xdr:col>5</xdr:col>
      <xdr:colOff>228600</xdr:colOff>
      <xdr:row>64</xdr:row>
      <xdr:rowOff>158750</xdr:rowOff>
    </xdr:from>
    <xdr:to>
      <xdr:col>8</xdr:col>
      <xdr:colOff>315686</xdr:colOff>
      <xdr:row>66</xdr:row>
      <xdr:rowOff>69850</xdr:rowOff>
    </xdr:to>
    <xdr:pic>
      <xdr:nvPicPr>
        <xdr:cNvPr id="60" name="Picture 59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76600" y="12128500"/>
          <a:ext cx="1915886" cy="2794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342900</xdr:colOff>
      <xdr:row>4</xdr:row>
      <xdr:rowOff>57150</xdr:rowOff>
    </xdr:from>
    <xdr:to>
      <xdr:col>6</xdr:col>
      <xdr:colOff>546100</xdr:colOff>
      <xdr:row>6</xdr:row>
      <xdr:rowOff>82550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0900" y="793750"/>
          <a:ext cx="8128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584200</xdr:colOff>
      <xdr:row>18</xdr:row>
      <xdr:rowOff>88900</xdr:rowOff>
    </xdr:from>
    <xdr:to>
      <xdr:col>10</xdr:col>
      <xdr:colOff>133350</xdr:colOff>
      <xdr:row>21</xdr:row>
      <xdr:rowOff>38100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2200" y="3924300"/>
          <a:ext cx="2597150" cy="584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552450</xdr:colOff>
      <xdr:row>27</xdr:row>
      <xdr:rowOff>88900</xdr:rowOff>
    </xdr:from>
    <xdr:to>
      <xdr:col>10</xdr:col>
      <xdr:colOff>330200</xdr:colOff>
      <xdr:row>29</xdr:row>
      <xdr:rowOff>38100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0450" y="5911850"/>
          <a:ext cx="282575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38100</xdr:colOff>
      <xdr:row>29</xdr:row>
      <xdr:rowOff>44450</xdr:rowOff>
    </xdr:from>
    <xdr:to>
      <xdr:col>7</xdr:col>
      <xdr:colOff>495300</xdr:colOff>
      <xdr:row>30</xdr:row>
      <xdr:rowOff>171450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0" y="6235700"/>
          <a:ext cx="10668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50800</xdr:colOff>
      <xdr:row>31</xdr:row>
      <xdr:rowOff>57150</xdr:rowOff>
    </xdr:from>
    <xdr:to>
      <xdr:col>11</xdr:col>
      <xdr:colOff>88900</xdr:colOff>
      <xdr:row>32</xdr:row>
      <xdr:rowOff>127000</xdr:rowOff>
    </xdr:to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8400" y="6616700"/>
          <a:ext cx="30861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584200</xdr:colOff>
      <xdr:row>34</xdr:row>
      <xdr:rowOff>101600</xdr:rowOff>
    </xdr:from>
    <xdr:to>
      <xdr:col>14</xdr:col>
      <xdr:colOff>12700</xdr:colOff>
      <xdr:row>36</xdr:row>
      <xdr:rowOff>76200</xdr:rowOff>
    </xdr:to>
    <xdr:pic>
      <xdr:nvPicPr>
        <xdr:cNvPr id="7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2200" y="7213600"/>
          <a:ext cx="49149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6350</xdr:colOff>
      <xdr:row>37</xdr:row>
      <xdr:rowOff>63500</xdr:rowOff>
    </xdr:from>
    <xdr:to>
      <xdr:col>10</xdr:col>
      <xdr:colOff>381000</xdr:colOff>
      <xdr:row>42</xdr:row>
      <xdr:rowOff>139700</xdr:rowOff>
    </xdr:to>
    <xdr:pic>
      <xdr:nvPicPr>
        <xdr:cNvPr id="8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3950" y="7727950"/>
          <a:ext cx="2813050" cy="996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12700</xdr:colOff>
      <xdr:row>43</xdr:row>
      <xdr:rowOff>158750</xdr:rowOff>
    </xdr:from>
    <xdr:to>
      <xdr:col>13</xdr:col>
      <xdr:colOff>558800</xdr:colOff>
      <xdr:row>48</xdr:row>
      <xdr:rowOff>57150</xdr:rowOff>
    </xdr:to>
    <xdr:pic>
      <xdr:nvPicPr>
        <xdr:cNvPr id="9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0300" y="8928100"/>
          <a:ext cx="4813300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50</xdr:row>
      <xdr:rowOff>69850</xdr:rowOff>
    </xdr:from>
    <xdr:to>
      <xdr:col>12</xdr:col>
      <xdr:colOff>6350</xdr:colOff>
      <xdr:row>53</xdr:row>
      <xdr:rowOff>0</xdr:rowOff>
    </xdr:to>
    <xdr:pic>
      <xdr:nvPicPr>
        <xdr:cNvPr id="10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128250"/>
          <a:ext cx="3663950" cy="48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88900</xdr:colOff>
      <xdr:row>54</xdr:row>
      <xdr:rowOff>146050</xdr:rowOff>
    </xdr:from>
    <xdr:to>
      <xdr:col>11</xdr:col>
      <xdr:colOff>457200</xdr:colOff>
      <xdr:row>56</xdr:row>
      <xdr:rowOff>69850</xdr:rowOff>
    </xdr:to>
    <xdr:pic>
      <xdr:nvPicPr>
        <xdr:cNvPr id="11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0" y="10941050"/>
          <a:ext cx="34163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44450</xdr:colOff>
      <xdr:row>57</xdr:row>
      <xdr:rowOff>12700</xdr:rowOff>
    </xdr:from>
    <xdr:to>
      <xdr:col>12</xdr:col>
      <xdr:colOff>127000</xdr:colOff>
      <xdr:row>61</xdr:row>
      <xdr:rowOff>76200</xdr:rowOff>
    </xdr:to>
    <xdr:pic>
      <xdr:nvPicPr>
        <xdr:cNvPr id="12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2050" y="11360150"/>
          <a:ext cx="3740150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82550</xdr:colOff>
      <xdr:row>62</xdr:row>
      <xdr:rowOff>6350</xdr:rowOff>
    </xdr:from>
    <xdr:to>
      <xdr:col>10</xdr:col>
      <xdr:colOff>368300</xdr:colOff>
      <xdr:row>65</xdr:row>
      <xdr:rowOff>50800</xdr:rowOff>
    </xdr:to>
    <xdr:pic>
      <xdr:nvPicPr>
        <xdr:cNvPr id="13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0150" y="12274550"/>
          <a:ext cx="2724150" cy="596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44450</xdr:colOff>
      <xdr:row>65</xdr:row>
      <xdr:rowOff>76200</xdr:rowOff>
    </xdr:from>
    <xdr:to>
      <xdr:col>10</xdr:col>
      <xdr:colOff>95250</xdr:colOff>
      <xdr:row>67</xdr:row>
      <xdr:rowOff>82550</xdr:rowOff>
    </xdr:to>
    <xdr:pic>
      <xdr:nvPicPr>
        <xdr:cNvPr id="14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2050" y="12896850"/>
          <a:ext cx="2489200" cy="374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44450</xdr:colOff>
      <xdr:row>67</xdr:row>
      <xdr:rowOff>88900</xdr:rowOff>
    </xdr:from>
    <xdr:to>
      <xdr:col>9</xdr:col>
      <xdr:colOff>107950</xdr:colOff>
      <xdr:row>69</xdr:row>
      <xdr:rowOff>171450</xdr:rowOff>
    </xdr:to>
    <xdr:pic>
      <xdr:nvPicPr>
        <xdr:cNvPr id="15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2050" y="13277850"/>
          <a:ext cx="1892300" cy="450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349250</xdr:colOff>
      <xdr:row>71</xdr:row>
      <xdr:rowOff>44450</xdr:rowOff>
    </xdr:from>
    <xdr:to>
      <xdr:col>10</xdr:col>
      <xdr:colOff>196850</xdr:colOff>
      <xdr:row>72</xdr:row>
      <xdr:rowOff>146050</xdr:rowOff>
    </xdr:to>
    <xdr:pic>
      <xdr:nvPicPr>
        <xdr:cNvPr id="16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6850" y="14522450"/>
          <a:ext cx="22860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11</xdr:row>
      <xdr:rowOff>0</xdr:rowOff>
    </xdr:from>
    <xdr:to>
      <xdr:col>4</xdr:col>
      <xdr:colOff>241300</xdr:colOff>
      <xdr:row>14</xdr:row>
      <xdr:rowOff>38100</xdr:rowOff>
    </xdr:to>
    <xdr:sp macro="" textlink="">
      <xdr:nvSpPr>
        <xdr:cNvPr id="3" name="Right Bracket 2"/>
        <xdr:cNvSpPr/>
      </xdr:nvSpPr>
      <xdr:spPr>
        <a:xfrm>
          <a:off x="2476500" y="2025650"/>
          <a:ext cx="203200" cy="59055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>
    <xdr:from>
      <xdr:col>6</xdr:col>
      <xdr:colOff>463550</xdr:colOff>
      <xdr:row>11</xdr:row>
      <xdr:rowOff>6350</xdr:rowOff>
    </xdr:from>
    <xdr:to>
      <xdr:col>7</xdr:col>
      <xdr:colOff>38100</xdr:colOff>
      <xdr:row>14</xdr:row>
      <xdr:rowOff>57150</xdr:rowOff>
    </xdr:to>
    <xdr:sp macro="" textlink="">
      <xdr:nvSpPr>
        <xdr:cNvPr id="4" name="Left Bracket 3"/>
        <xdr:cNvSpPr/>
      </xdr:nvSpPr>
      <xdr:spPr>
        <a:xfrm>
          <a:off x="4121150" y="2032000"/>
          <a:ext cx="184150" cy="60325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101600</xdr:colOff>
      <xdr:row>11</xdr:row>
      <xdr:rowOff>0</xdr:rowOff>
    </xdr:from>
    <xdr:to>
      <xdr:col>7</xdr:col>
      <xdr:colOff>273050</xdr:colOff>
      <xdr:row>14</xdr:row>
      <xdr:rowOff>69850</xdr:rowOff>
    </xdr:to>
    <xdr:sp macro="" textlink="">
      <xdr:nvSpPr>
        <xdr:cNvPr id="5" name="Right Bracket 4"/>
        <xdr:cNvSpPr/>
      </xdr:nvSpPr>
      <xdr:spPr>
        <a:xfrm>
          <a:off x="4368800" y="2025650"/>
          <a:ext cx="171450" cy="62230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 editAs="oneCell">
    <xdr:from>
      <xdr:col>1</xdr:col>
      <xdr:colOff>533400</xdr:colOff>
      <xdr:row>15</xdr:row>
      <xdr:rowOff>63500</xdr:rowOff>
    </xdr:from>
    <xdr:to>
      <xdr:col>2</xdr:col>
      <xdr:colOff>273050</xdr:colOff>
      <xdr:row>18</xdr:row>
      <xdr:rowOff>88900</xdr:rowOff>
    </xdr:to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876550"/>
          <a:ext cx="349250" cy="577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552450</xdr:colOff>
      <xdr:row>15</xdr:row>
      <xdr:rowOff>133350</xdr:rowOff>
    </xdr:from>
    <xdr:to>
      <xdr:col>3</xdr:col>
      <xdr:colOff>139700</xdr:colOff>
      <xdr:row>18</xdr:row>
      <xdr:rowOff>31750</xdr:rowOff>
    </xdr:to>
    <xdr:sp macro="" textlink="">
      <xdr:nvSpPr>
        <xdr:cNvPr id="7" name="Left Bracket 6"/>
        <xdr:cNvSpPr/>
      </xdr:nvSpPr>
      <xdr:spPr>
        <a:xfrm>
          <a:off x="1771650" y="2946400"/>
          <a:ext cx="196850" cy="45085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44450</xdr:colOff>
      <xdr:row>15</xdr:row>
      <xdr:rowOff>171450</xdr:rowOff>
    </xdr:from>
    <xdr:to>
      <xdr:col>5</xdr:col>
      <xdr:colOff>203200</xdr:colOff>
      <xdr:row>18</xdr:row>
      <xdr:rowOff>38100</xdr:rowOff>
    </xdr:to>
    <xdr:sp macro="" textlink="">
      <xdr:nvSpPr>
        <xdr:cNvPr id="8" name="Right Bracket 7"/>
        <xdr:cNvSpPr/>
      </xdr:nvSpPr>
      <xdr:spPr>
        <a:xfrm>
          <a:off x="3092450" y="2984500"/>
          <a:ext cx="158750" cy="41910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 editAs="oneCell">
    <xdr:from>
      <xdr:col>6</xdr:col>
      <xdr:colOff>336550</xdr:colOff>
      <xdr:row>15</xdr:row>
      <xdr:rowOff>152400</xdr:rowOff>
    </xdr:from>
    <xdr:to>
      <xdr:col>7</xdr:col>
      <xdr:colOff>317500</xdr:colOff>
      <xdr:row>17</xdr:row>
      <xdr:rowOff>158750</xdr:rowOff>
    </xdr:to>
    <xdr:pic>
      <xdr:nvPicPr>
        <xdr:cNvPr id="9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150" y="2965450"/>
          <a:ext cx="590550" cy="374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95250</xdr:colOff>
      <xdr:row>10</xdr:row>
      <xdr:rowOff>171450</xdr:rowOff>
    </xdr:from>
    <xdr:to>
      <xdr:col>3</xdr:col>
      <xdr:colOff>260350</xdr:colOff>
      <xdr:row>14</xdr:row>
      <xdr:rowOff>25400</xdr:rowOff>
    </xdr:to>
    <xdr:sp macro="" textlink="">
      <xdr:nvSpPr>
        <xdr:cNvPr id="10" name="Left Bracket 9"/>
        <xdr:cNvSpPr/>
      </xdr:nvSpPr>
      <xdr:spPr>
        <a:xfrm>
          <a:off x="1924050" y="2012950"/>
          <a:ext cx="165100" cy="64135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304800</xdr:colOff>
      <xdr:row>15</xdr:row>
      <xdr:rowOff>139700</xdr:rowOff>
    </xdr:from>
    <xdr:to>
      <xdr:col>9</xdr:col>
      <xdr:colOff>501650</xdr:colOff>
      <xdr:row>18</xdr:row>
      <xdr:rowOff>38100</xdr:rowOff>
    </xdr:to>
    <xdr:sp macro="" textlink="">
      <xdr:nvSpPr>
        <xdr:cNvPr id="11" name="Left Bracket 10"/>
        <xdr:cNvSpPr/>
      </xdr:nvSpPr>
      <xdr:spPr>
        <a:xfrm>
          <a:off x="5791200" y="2952750"/>
          <a:ext cx="196850" cy="45085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355600</xdr:colOff>
      <xdr:row>15</xdr:row>
      <xdr:rowOff>158750</xdr:rowOff>
    </xdr:from>
    <xdr:to>
      <xdr:col>10</xdr:col>
      <xdr:colOff>514350</xdr:colOff>
      <xdr:row>18</xdr:row>
      <xdr:rowOff>25400</xdr:rowOff>
    </xdr:to>
    <xdr:sp macro="" textlink="">
      <xdr:nvSpPr>
        <xdr:cNvPr id="12" name="Right Bracket 11"/>
        <xdr:cNvSpPr/>
      </xdr:nvSpPr>
      <xdr:spPr>
        <a:xfrm>
          <a:off x="6451600" y="2971800"/>
          <a:ext cx="158750" cy="41910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 editAs="oneCell">
    <xdr:from>
      <xdr:col>11</xdr:col>
      <xdr:colOff>425450</xdr:colOff>
      <xdr:row>15</xdr:row>
      <xdr:rowOff>82550</xdr:rowOff>
    </xdr:from>
    <xdr:to>
      <xdr:col>11</xdr:col>
      <xdr:colOff>831850</xdr:colOff>
      <xdr:row>17</xdr:row>
      <xdr:rowOff>101600</xdr:rowOff>
    </xdr:to>
    <xdr:pic>
      <xdr:nvPicPr>
        <xdr:cNvPr id="13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1050" y="2895600"/>
          <a:ext cx="406400" cy="387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971550</xdr:colOff>
      <xdr:row>15</xdr:row>
      <xdr:rowOff>12700</xdr:rowOff>
    </xdr:from>
    <xdr:to>
      <xdr:col>12</xdr:col>
      <xdr:colOff>146050</xdr:colOff>
      <xdr:row>17</xdr:row>
      <xdr:rowOff>95250</xdr:rowOff>
    </xdr:to>
    <xdr:sp macro="" textlink="">
      <xdr:nvSpPr>
        <xdr:cNvPr id="14" name="Left Bracket 13"/>
        <xdr:cNvSpPr/>
      </xdr:nvSpPr>
      <xdr:spPr>
        <a:xfrm>
          <a:off x="7677150" y="2825750"/>
          <a:ext cx="196850" cy="45085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184150</xdr:colOff>
      <xdr:row>15</xdr:row>
      <xdr:rowOff>19050</xdr:rowOff>
    </xdr:from>
    <xdr:to>
      <xdr:col>12</xdr:col>
      <xdr:colOff>342900</xdr:colOff>
      <xdr:row>17</xdr:row>
      <xdr:rowOff>69850</xdr:rowOff>
    </xdr:to>
    <xdr:sp macro="" textlink="">
      <xdr:nvSpPr>
        <xdr:cNvPr id="15" name="Right Bracket 14"/>
        <xdr:cNvSpPr/>
      </xdr:nvSpPr>
      <xdr:spPr>
        <a:xfrm>
          <a:off x="7912100" y="2832100"/>
          <a:ext cx="158750" cy="41910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 editAs="oneCell">
    <xdr:from>
      <xdr:col>2</xdr:col>
      <xdr:colOff>184150</xdr:colOff>
      <xdr:row>20</xdr:row>
      <xdr:rowOff>88900</xdr:rowOff>
    </xdr:from>
    <xdr:to>
      <xdr:col>4</xdr:col>
      <xdr:colOff>190500</xdr:colOff>
      <xdr:row>23</xdr:row>
      <xdr:rowOff>25400</xdr:rowOff>
    </xdr:to>
    <xdr:pic>
      <xdr:nvPicPr>
        <xdr:cNvPr id="16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" y="3822700"/>
          <a:ext cx="1225550" cy="488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336550</xdr:colOff>
      <xdr:row>20</xdr:row>
      <xdr:rowOff>139700</xdr:rowOff>
    </xdr:from>
    <xdr:to>
      <xdr:col>4</xdr:col>
      <xdr:colOff>533400</xdr:colOff>
      <xdr:row>23</xdr:row>
      <xdr:rowOff>38100</xdr:rowOff>
    </xdr:to>
    <xdr:sp macro="" textlink="">
      <xdr:nvSpPr>
        <xdr:cNvPr id="17" name="Left Bracket 16"/>
        <xdr:cNvSpPr/>
      </xdr:nvSpPr>
      <xdr:spPr>
        <a:xfrm>
          <a:off x="5822950" y="2952750"/>
          <a:ext cx="196850" cy="45085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355600</xdr:colOff>
      <xdr:row>20</xdr:row>
      <xdr:rowOff>158750</xdr:rowOff>
    </xdr:from>
    <xdr:to>
      <xdr:col>5</xdr:col>
      <xdr:colOff>514350</xdr:colOff>
      <xdr:row>23</xdr:row>
      <xdr:rowOff>25400</xdr:rowOff>
    </xdr:to>
    <xdr:sp macro="" textlink="">
      <xdr:nvSpPr>
        <xdr:cNvPr id="18" name="Right Bracket 17"/>
        <xdr:cNvSpPr/>
      </xdr:nvSpPr>
      <xdr:spPr>
        <a:xfrm>
          <a:off x="6451600" y="2971800"/>
          <a:ext cx="158750" cy="41910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>
    <xdr:from>
      <xdr:col>6</xdr:col>
      <xdr:colOff>520700</xdr:colOff>
      <xdr:row>20</xdr:row>
      <xdr:rowOff>133350</xdr:rowOff>
    </xdr:from>
    <xdr:to>
      <xdr:col>7</xdr:col>
      <xdr:colOff>107950</xdr:colOff>
      <xdr:row>23</xdr:row>
      <xdr:rowOff>31750</xdr:rowOff>
    </xdr:to>
    <xdr:sp macro="" textlink="">
      <xdr:nvSpPr>
        <xdr:cNvPr id="19" name="Left Bracket 18"/>
        <xdr:cNvSpPr/>
      </xdr:nvSpPr>
      <xdr:spPr>
        <a:xfrm>
          <a:off x="4178300" y="3867150"/>
          <a:ext cx="196850" cy="45085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139700</xdr:colOff>
      <xdr:row>20</xdr:row>
      <xdr:rowOff>165100</xdr:rowOff>
    </xdr:from>
    <xdr:to>
      <xdr:col>8</xdr:col>
      <xdr:colOff>298450</xdr:colOff>
      <xdr:row>23</xdr:row>
      <xdr:rowOff>31750</xdr:rowOff>
    </xdr:to>
    <xdr:sp macro="" textlink="">
      <xdr:nvSpPr>
        <xdr:cNvPr id="20" name="Right Bracket 19"/>
        <xdr:cNvSpPr/>
      </xdr:nvSpPr>
      <xdr:spPr>
        <a:xfrm>
          <a:off x="5016500" y="3898900"/>
          <a:ext cx="158750" cy="41910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21</xdr:row>
          <xdr:rowOff>0</xdr:rowOff>
        </xdr:from>
        <xdr:to>
          <xdr:col>10</xdr:col>
          <xdr:colOff>6350</xdr:colOff>
          <xdr:row>22</xdr:row>
          <xdr:rowOff>6350</xdr:rowOff>
        </xdr:to>
        <xdr:pic>
          <xdr:nvPicPr>
            <xdr:cNvPr id="21" name="Picture 20"/>
            <xdr:cNvPicPr>
              <a:picLocks noChangeAspect="1" noChangeArrowheads="1"/>
              <a:extLst>
                <a:ext uri="{84589F7E-364E-4C9E-8A38-B11213B215E9}">
                  <a14:cameraTool cellRange="$I$17" spid="_x0000_s17637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5486400" y="3917950"/>
              <a:ext cx="615950" cy="1905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10</xdr:col>
      <xdr:colOff>336550</xdr:colOff>
      <xdr:row>20</xdr:row>
      <xdr:rowOff>139700</xdr:rowOff>
    </xdr:from>
    <xdr:to>
      <xdr:col>10</xdr:col>
      <xdr:colOff>533400</xdr:colOff>
      <xdr:row>23</xdr:row>
      <xdr:rowOff>38100</xdr:rowOff>
    </xdr:to>
    <xdr:sp macro="" textlink="">
      <xdr:nvSpPr>
        <xdr:cNvPr id="24" name="Left Bracket 23"/>
        <xdr:cNvSpPr/>
      </xdr:nvSpPr>
      <xdr:spPr>
        <a:xfrm>
          <a:off x="2774950" y="3873500"/>
          <a:ext cx="196850" cy="45085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482600</xdr:colOff>
      <xdr:row>20</xdr:row>
      <xdr:rowOff>158750</xdr:rowOff>
    </xdr:from>
    <xdr:to>
      <xdr:col>11</xdr:col>
      <xdr:colOff>641350</xdr:colOff>
      <xdr:row>23</xdr:row>
      <xdr:rowOff>25400</xdr:rowOff>
    </xdr:to>
    <xdr:sp macro="" textlink="">
      <xdr:nvSpPr>
        <xdr:cNvPr id="25" name="Right Bracket 24"/>
        <xdr:cNvSpPr/>
      </xdr:nvSpPr>
      <xdr:spPr>
        <a:xfrm>
          <a:off x="7188200" y="3892550"/>
          <a:ext cx="158750" cy="41910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 editAs="oneCell">
    <xdr:from>
      <xdr:col>4</xdr:col>
      <xdr:colOff>419100</xdr:colOff>
      <xdr:row>14</xdr:row>
      <xdr:rowOff>57150</xdr:rowOff>
    </xdr:from>
    <xdr:to>
      <xdr:col>6</xdr:col>
      <xdr:colOff>584200</xdr:colOff>
      <xdr:row>16</xdr:row>
      <xdr:rowOff>0</xdr:rowOff>
    </xdr:to>
    <xdr:pic>
      <xdr:nvPicPr>
        <xdr:cNvPr id="27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0" y="2686050"/>
          <a:ext cx="138430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222250</xdr:colOff>
      <xdr:row>24</xdr:row>
      <xdr:rowOff>177800</xdr:rowOff>
    </xdr:from>
    <xdr:to>
      <xdr:col>4</xdr:col>
      <xdr:colOff>370862</xdr:colOff>
      <xdr:row>26</xdr:row>
      <xdr:rowOff>69850</xdr:rowOff>
    </xdr:to>
    <xdr:pic>
      <xdr:nvPicPr>
        <xdr:cNvPr id="28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1050" y="4648200"/>
          <a:ext cx="758212" cy="260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476250</xdr:colOff>
      <xdr:row>27</xdr:row>
      <xdr:rowOff>44450</xdr:rowOff>
    </xdr:from>
    <xdr:to>
      <xdr:col>5</xdr:col>
      <xdr:colOff>127000</xdr:colOff>
      <xdr:row>29</xdr:row>
      <xdr:rowOff>38100</xdr:rowOff>
    </xdr:to>
    <xdr:pic>
      <xdr:nvPicPr>
        <xdr:cNvPr id="29" name="Picture 28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5067300"/>
          <a:ext cx="147955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171450</xdr:colOff>
      <xdr:row>26</xdr:row>
      <xdr:rowOff>146050</xdr:rowOff>
    </xdr:from>
    <xdr:to>
      <xdr:col>7</xdr:col>
      <xdr:colOff>368300</xdr:colOff>
      <xdr:row>29</xdr:row>
      <xdr:rowOff>44450</xdr:rowOff>
    </xdr:to>
    <xdr:sp macro="" textlink="">
      <xdr:nvSpPr>
        <xdr:cNvPr id="31" name="Left Bracket 30"/>
        <xdr:cNvSpPr/>
      </xdr:nvSpPr>
      <xdr:spPr>
        <a:xfrm>
          <a:off x="4438650" y="4984750"/>
          <a:ext cx="196850" cy="45085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349250</xdr:colOff>
      <xdr:row>26</xdr:row>
      <xdr:rowOff>146050</xdr:rowOff>
    </xdr:from>
    <xdr:to>
      <xdr:col>8</xdr:col>
      <xdr:colOff>508000</xdr:colOff>
      <xdr:row>29</xdr:row>
      <xdr:rowOff>12700</xdr:rowOff>
    </xdr:to>
    <xdr:sp macro="" textlink="">
      <xdr:nvSpPr>
        <xdr:cNvPr id="32" name="Right Bracket 31"/>
        <xdr:cNvSpPr/>
      </xdr:nvSpPr>
      <xdr:spPr>
        <a:xfrm>
          <a:off x="5226050" y="4984750"/>
          <a:ext cx="158750" cy="41910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oneCellAnchor>
    <xdr:from>
      <xdr:col>6</xdr:col>
      <xdr:colOff>377825</xdr:colOff>
      <xdr:row>27</xdr:row>
      <xdr:rowOff>3175</xdr:rowOff>
    </xdr:from>
    <xdr:ext cx="188065" cy="31688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3" name="TextBox 32"/>
            <xdr:cNvSpPr txBox="1"/>
          </xdr:nvSpPr>
          <xdr:spPr>
            <a:xfrm>
              <a:off x="4035425" y="5026025"/>
              <a:ext cx="188065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N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24</m:t>
                        </m:r>
                      </m:den>
                    </m:f>
                  </m:oMath>
                </m:oMathPara>
              </a14:m>
              <a:endParaRPr lang="en-IN" sz="1100"/>
            </a:p>
          </xdr:txBody>
        </xdr:sp>
      </mc:Choice>
      <mc:Fallback>
        <xdr:sp macro="" textlink="">
          <xdr:nvSpPr>
            <xdr:cNvPr id="33" name="TextBox 32"/>
            <xdr:cNvSpPr txBox="1"/>
          </xdr:nvSpPr>
          <xdr:spPr>
            <a:xfrm>
              <a:off x="4035425" y="5026025"/>
              <a:ext cx="188065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1</a:t>
              </a:r>
              <a:r>
                <a:rPr lang="en-IN" sz="1100" b="0" i="0">
                  <a:latin typeface="Cambria Math" panose="02040503050406030204" pitchFamily="18" charset="0"/>
                </a:rPr>
                <a:t>/</a:t>
              </a:r>
              <a:r>
                <a:rPr lang="en-US" sz="1100" b="0" i="0">
                  <a:latin typeface="Cambria Math" panose="02040503050406030204" pitchFamily="18" charset="0"/>
                </a:rPr>
                <a:t>24</a:t>
              </a:r>
              <a:endParaRPr lang="en-IN" sz="1100"/>
            </a:p>
          </xdr:txBody>
        </xdr:sp>
      </mc:Fallback>
    </mc:AlternateContent>
    <xdr:clientData/>
  </xdr:oneCellAnchor>
  <xdr:twoCellAnchor>
    <xdr:from>
      <xdr:col>9</xdr:col>
      <xdr:colOff>571500</xdr:colOff>
      <xdr:row>26</xdr:row>
      <xdr:rowOff>165100</xdr:rowOff>
    </xdr:from>
    <xdr:to>
      <xdr:col>10</xdr:col>
      <xdr:colOff>158750</xdr:colOff>
      <xdr:row>29</xdr:row>
      <xdr:rowOff>63500</xdr:rowOff>
    </xdr:to>
    <xdr:sp macro="" textlink="">
      <xdr:nvSpPr>
        <xdr:cNvPr id="34" name="Left Bracket 33"/>
        <xdr:cNvSpPr/>
      </xdr:nvSpPr>
      <xdr:spPr>
        <a:xfrm>
          <a:off x="6057900" y="5003800"/>
          <a:ext cx="196850" cy="45085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317500</xdr:colOff>
      <xdr:row>27</xdr:row>
      <xdr:rowOff>0</xdr:rowOff>
    </xdr:from>
    <xdr:to>
      <xdr:col>11</xdr:col>
      <xdr:colOff>476250</xdr:colOff>
      <xdr:row>29</xdr:row>
      <xdr:rowOff>50800</xdr:rowOff>
    </xdr:to>
    <xdr:sp macro="" textlink="">
      <xdr:nvSpPr>
        <xdr:cNvPr id="35" name="Right Bracket 34"/>
        <xdr:cNvSpPr/>
      </xdr:nvSpPr>
      <xdr:spPr>
        <a:xfrm>
          <a:off x="7023100" y="5022850"/>
          <a:ext cx="158750" cy="41910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577850</xdr:colOff>
          <xdr:row>27</xdr:row>
          <xdr:rowOff>44450</xdr:rowOff>
        </xdr:from>
        <xdr:to>
          <xdr:col>9</xdr:col>
          <xdr:colOff>584200</xdr:colOff>
          <xdr:row>28</xdr:row>
          <xdr:rowOff>50800</xdr:rowOff>
        </xdr:to>
        <xdr:pic>
          <xdr:nvPicPr>
            <xdr:cNvPr id="37" name="Picture 36"/>
            <xdr:cNvPicPr>
              <a:picLocks noChangeAspect="1" noChangeArrowheads="1"/>
              <a:extLst>
                <a:ext uri="{84589F7E-364E-4C9E-8A38-B11213B215E9}">
                  <a14:cameraTool cellRange="$I$17" spid="_x0000_s17638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5454650" y="5067300"/>
              <a:ext cx="615950" cy="1905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2</xdr:col>
      <xdr:colOff>565150</xdr:colOff>
      <xdr:row>30</xdr:row>
      <xdr:rowOff>114300</xdr:rowOff>
    </xdr:from>
    <xdr:to>
      <xdr:col>6</xdr:col>
      <xdr:colOff>495300</xdr:colOff>
      <xdr:row>33</xdr:row>
      <xdr:rowOff>6350</xdr:rowOff>
    </xdr:to>
    <xdr:pic>
      <xdr:nvPicPr>
        <xdr:cNvPr id="38" name="Picture 37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4350" y="5689600"/>
          <a:ext cx="2368550" cy="44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571500</xdr:colOff>
      <xdr:row>30</xdr:row>
      <xdr:rowOff>165100</xdr:rowOff>
    </xdr:from>
    <xdr:to>
      <xdr:col>8</xdr:col>
      <xdr:colOff>158750</xdr:colOff>
      <xdr:row>33</xdr:row>
      <xdr:rowOff>63500</xdr:rowOff>
    </xdr:to>
    <xdr:sp macro="" textlink="">
      <xdr:nvSpPr>
        <xdr:cNvPr id="39" name="Left Bracket 38"/>
        <xdr:cNvSpPr/>
      </xdr:nvSpPr>
      <xdr:spPr>
        <a:xfrm>
          <a:off x="6057900" y="5003800"/>
          <a:ext cx="196850" cy="45085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317500</xdr:colOff>
      <xdr:row>31</xdr:row>
      <xdr:rowOff>0</xdr:rowOff>
    </xdr:from>
    <xdr:to>
      <xdr:col>9</xdr:col>
      <xdr:colOff>476250</xdr:colOff>
      <xdr:row>33</xdr:row>
      <xdr:rowOff>50800</xdr:rowOff>
    </xdr:to>
    <xdr:sp macro="" textlink="">
      <xdr:nvSpPr>
        <xdr:cNvPr id="40" name="Right Bracket 39"/>
        <xdr:cNvSpPr/>
      </xdr:nvSpPr>
      <xdr:spPr>
        <a:xfrm>
          <a:off x="7023100" y="5022850"/>
          <a:ext cx="158750" cy="41910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577850</xdr:colOff>
          <xdr:row>31</xdr:row>
          <xdr:rowOff>44450</xdr:rowOff>
        </xdr:from>
        <xdr:ext cx="615950" cy="190500"/>
        <xdr:pic>
          <xdr:nvPicPr>
            <xdr:cNvPr id="41" name="Picture 40"/>
            <xdr:cNvPicPr>
              <a:picLocks noChangeAspect="1" noChangeArrowheads="1"/>
              <a:extLst>
                <a:ext uri="{84589F7E-364E-4C9E-8A38-B11213B215E9}">
                  <a14:cameraTool cellRange="$I$17" spid="_x0000_s17639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5454650" y="5067300"/>
              <a:ext cx="615950" cy="1905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xdr:twoCellAnchor>
    <xdr:from>
      <xdr:col>9</xdr:col>
      <xdr:colOff>565150</xdr:colOff>
      <xdr:row>30</xdr:row>
      <xdr:rowOff>152400</xdr:rowOff>
    </xdr:from>
    <xdr:to>
      <xdr:col>10</xdr:col>
      <xdr:colOff>152400</xdr:colOff>
      <xdr:row>33</xdr:row>
      <xdr:rowOff>50800</xdr:rowOff>
    </xdr:to>
    <xdr:sp macro="" textlink="">
      <xdr:nvSpPr>
        <xdr:cNvPr id="42" name="Left Bracket 41"/>
        <xdr:cNvSpPr/>
      </xdr:nvSpPr>
      <xdr:spPr>
        <a:xfrm>
          <a:off x="6051550" y="5727700"/>
          <a:ext cx="196850" cy="45085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412750</xdr:colOff>
      <xdr:row>30</xdr:row>
      <xdr:rowOff>158750</xdr:rowOff>
    </xdr:from>
    <xdr:to>
      <xdr:col>10</xdr:col>
      <xdr:colOff>571500</xdr:colOff>
      <xdr:row>33</xdr:row>
      <xdr:rowOff>25400</xdr:rowOff>
    </xdr:to>
    <xdr:sp macro="" textlink="">
      <xdr:nvSpPr>
        <xdr:cNvPr id="44" name="Right Bracket 43"/>
        <xdr:cNvSpPr/>
      </xdr:nvSpPr>
      <xdr:spPr>
        <a:xfrm>
          <a:off x="6508750" y="5734050"/>
          <a:ext cx="158750" cy="41910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>
    <xdr:from>
      <xdr:col>7</xdr:col>
      <xdr:colOff>82550</xdr:colOff>
      <xdr:row>34</xdr:row>
      <xdr:rowOff>158750</xdr:rowOff>
    </xdr:from>
    <xdr:to>
      <xdr:col>7</xdr:col>
      <xdr:colOff>279400</xdr:colOff>
      <xdr:row>37</xdr:row>
      <xdr:rowOff>57150</xdr:rowOff>
    </xdr:to>
    <xdr:sp macro="" textlink="">
      <xdr:nvSpPr>
        <xdr:cNvPr id="45" name="Left Bracket 44"/>
        <xdr:cNvSpPr/>
      </xdr:nvSpPr>
      <xdr:spPr>
        <a:xfrm>
          <a:off x="4349750" y="6470650"/>
          <a:ext cx="196850" cy="45085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539750</xdr:colOff>
      <xdr:row>34</xdr:row>
      <xdr:rowOff>165100</xdr:rowOff>
    </xdr:from>
    <xdr:to>
      <xdr:col>8</xdr:col>
      <xdr:colOff>88900</xdr:colOff>
      <xdr:row>37</xdr:row>
      <xdr:rowOff>31750</xdr:rowOff>
    </xdr:to>
    <xdr:sp macro="" textlink="">
      <xdr:nvSpPr>
        <xdr:cNvPr id="46" name="Right Bracket 45"/>
        <xdr:cNvSpPr/>
      </xdr:nvSpPr>
      <xdr:spPr>
        <a:xfrm>
          <a:off x="4806950" y="6477000"/>
          <a:ext cx="158750" cy="41910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0</xdr:colOff>
          <xdr:row>35</xdr:row>
          <xdr:rowOff>0</xdr:rowOff>
        </xdr:from>
        <xdr:ext cx="615950" cy="190500"/>
        <xdr:pic>
          <xdr:nvPicPr>
            <xdr:cNvPr id="47" name="Picture 46"/>
            <xdr:cNvPicPr>
              <a:picLocks noChangeAspect="1" noChangeArrowheads="1"/>
              <a:extLst>
                <a:ext uri="{84589F7E-364E-4C9E-8A38-B11213B215E9}">
                  <a14:cameraTool cellRange="$I$17" spid="_x0000_s17640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3657600" y="6496050"/>
              <a:ext cx="615950" cy="1905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xdr:twoCellAnchor editAs="oneCell">
    <xdr:from>
      <xdr:col>13</xdr:col>
      <xdr:colOff>260350</xdr:colOff>
      <xdr:row>12</xdr:row>
      <xdr:rowOff>190500</xdr:rowOff>
    </xdr:from>
    <xdr:to>
      <xdr:col>15</xdr:col>
      <xdr:colOff>431800</xdr:colOff>
      <xdr:row>15</xdr:row>
      <xdr:rowOff>31750</xdr:rowOff>
    </xdr:to>
    <xdr:pic>
      <xdr:nvPicPr>
        <xdr:cNvPr id="48" name="Picture 47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97900" y="2400300"/>
          <a:ext cx="1911350" cy="44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406400</xdr:colOff>
      <xdr:row>15</xdr:row>
      <xdr:rowOff>88900</xdr:rowOff>
    </xdr:from>
    <xdr:to>
      <xdr:col>14</xdr:col>
      <xdr:colOff>615950</xdr:colOff>
      <xdr:row>17</xdr:row>
      <xdr:rowOff>127000</xdr:rowOff>
    </xdr:to>
    <xdr:pic>
      <xdr:nvPicPr>
        <xdr:cNvPr id="49" name="Picture 48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43950" y="2901950"/>
          <a:ext cx="81915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279400</xdr:colOff>
      <xdr:row>19</xdr:row>
      <xdr:rowOff>12700</xdr:rowOff>
    </xdr:from>
    <xdr:to>
      <xdr:col>13</xdr:col>
      <xdr:colOff>552450</xdr:colOff>
      <xdr:row>20</xdr:row>
      <xdr:rowOff>1775</xdr:rowOff>
    </xdr:to>
    <xdr:pic>
      <xdr:nvPicPr>
        <xdr:cNvPr id="50" name="Picture 49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6950" y="3562350"/>
          <a:ext cx="273050" cy="173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15</xdr:col>
      <xdr:colOff>460375</xdr:colOff>
      <xdr:row>15</xdr:row>
      <xdr:rowOff>180975</xdr:rowOff>
    </xdr:from>
    <xdr:ext cx="109965" cy="31803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1" name="TextBox 50"/>
            <xdr:cNvSpPr txBox="1"/>
          </xdr:nvSpPr>
          <xdr:spPr>
            <a:xfrm>
              <a:off x="10017125" y="2994025"/>
              <a:ext cx="109965" cy="318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N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6</m:t>
                        </m:r>
                      </m:den>
                    </m:f>
                  </m:oMath>
                </m:oMathPara>
              </a14:m>
              <a:endParaRPr lang="en-IN" sz="1100"/>
            </a:p>
          </xdr:txBody>
        </xdr:sp>
      </mc:Choice>
      <mc:Fallback>
        <xdr:sp macro="" textlink="">
          <xdr:nvSpPr>
            <xdr:cNvPr id="51" name="TextBox 50"/>
            <xdr:cNvSpPr txBox="1"/>
          </xdr:nvSpPr>
          <xdr:spPr>
            <a:xfrm>
              <a:off x="10017125" y="2994025"/>
              <a:ext cx="109965" cy="318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1</a:t>
              </a:r>
              <a:r>
                <a:rPr lang="en-IN" sz="1100" b="0" i="0">
                  <a:latin typeface="Cambria Math" panose="02040503050406030204" pitchFamily="18" charset="0"/>
                </a:rPr>
                <a:t>/</a:t>
              </a:r>
              <a:r>
                <a:rPr lang="en-US" sz="1100" b="0" i="0">
                  <a:latin typeface="Cambria Math" panose="02040503050406030204" pitchFamily="18" charset="0"/>
                </a:rPr>
                <a:t>6</a:t>
              </a:r>
              <a:endParaRPr lang="en-IN" sz="1100"/>
            </a:p>
          </xdr:txBody>
        </xdr:sp>
      </mc:Fallback>
    </mc:AlternateContent>
    <xdr:clientData/>
  </xdr:oneCellAnchor>
  <xdr:twoCellAnchor>
    <xdr:from>
      <xdr:col>16</xdr:col>
      <xdr:colOff>95250</xdr:colOff>
      <xdr:row>15</xdr:row>
      <xdr:rowOff>158750</xdr:rowOff>
    </xdr:from>
    <xdr:to>
      <xdr:col>16</xdr:col>
      <xdr:colOff>292100</xdr:colOff>
      <xdr:row>18</xdr:row>
      <xdr:rowOff>57150</xdr:rowOff>
    </xdr:to>
    <xdr:sp macro="" textlink="">
      <xdr:nvSpPr>
        <xdr:cNvPr id="52" name="Left Bracket 51"/>
        <xdr:cNvSpPr/>
      </xdr:nvSpPr>
      <xdr:spPr>
        <a:xfrm>
          <a:off x="10261600" y="2971800"/>
          <a:ext cx="196850" cy="45085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311150</xdr:colOff>
      <xdr:row>15</xdr:row>
      <xdr:rowOff>158750</xdr:rowOff>
    </xdr:from>
    <xdr:to>
      <xdr:col>17</xdr:col>
      <xdr:colOff>469900</xdr:colOff>
      <xdr:row>18</xdr:row>
      <xdr:rowOff>25400</xdr:rowOff>
    </xdr:to>
    <xdr:sp macro="" textlink="">
      <xdr:nvSpPr>
        <xdr:cNvPr id="53" name="Right Bracket 52"/>
        <xdr:cNvSpPr/>
      </xdr:nvSpPr>
      <xdr:spPr>
        <a:xfrm>
          <a:off x="11087100" y="2971800"/>
          <a:ext cx="158750" cy="41910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>
    <xdr:from>
      <xdr:col>15</xdr:col>
      <xdr:colOff>101600</xdr:colOff>
      <xdr:row>21</xdr:row>
      <xdr:rowOff>146050</xdr:rowOff>
    </xdr:from>
    <xdr:to>
      <xdr:col>15</xdr:col>
      <xdr:colOff>298450</xdr:colOff>
      <xdr:row>24</xdr:row>
      <xdr:rowOff>44450</xdr:rowOff>
    </xdr:to>
    <xdr:sp macro="" textlink="">
      <xdr:nvSpPr>
        <xdr:cNvPr id="54" name="Left Bracket 53"/>
        <xdr:cNvSpPr/>
      </xdr:nvSpPr>
      <xdr:spPr>
        <a:xfrm>
          <a:off x="9658350" y="4064000"/>
          <a:ext cx="196850" cy="45085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571500</xdr:colOff>
      <xdr:row>21</xdr:row>
      <xdr:rowOff>171450</xdr:rowOff>
    </xdr:from>
    <xdr:to>
      <xdr:col>17</xdr:col>
      <xdr:colOff>120650</xdr:colOff>
      <xdr:row>24</xdr:row>
      <xdr:rowOff>38100</xdr:rowOff>
    </xdr:to>
    <xdr:sp macro="" textlink="">
      <xdr:nvSpPr>
        <xdr:cNvPr id="55" name="Right Bracket 54"/>
        <xdr:cNvSpPr/>
      </xdr:nvSpPr>
      <xdr:spPr>
        <a:xfrm>
          <a:off x="10737850" y="4089400"/>
          <a:ext cx="158750" cy="41910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>
    <xdr:from>
      <xdr:col>7</xdr:col>
      <xdr:colOff>571500</xdr:colOff>
      <xdr:row>30</xdr:row>
      <xdr:rowOff>165100</xdr:rowOff>
    </xdr:from>
    <xdr:to>
      <xdr:col>8</xdr:col>
      <xdr:colOff>158750</xdr:colOff>
      <xdr:row>33</xdr:row>
      <xdr:rowOff>63500</xdr:rowOff>
    </xdr:to>
    <xdr:sp macro="" textlink="">
      <xdr:nvSpPr>
        <xdr:cNvPr id="56" name="Left Bracket 55"/>
        <xdr:cNvSpPr/>
      </xdr:nvSpPr>
      <xdr:spPr>
        <a:xfrm>
          <a:off x="6057900" y="5003800"/>
          <a:ext cx="196850" cy="45085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317500</xdr:colOff>
      <xdr:row>31</xdr:row>
      <xdr:rowOff>0</xdr:rowOff>
    </xdr:from>
    <xdr:to>
      <xdr:col>9</xdr:col>
      <xdr:colOff>476250</xdr:colOff>
      <xdr:row>33</xdr:row>
      <xdr:rowOff>50800</xdr:rowOff>
    </xdr:to>
    <xdr:sp macro="" textlink="">
      <xdr:nvSpPr>
        <xdr:cNvPr id="57" name="Right Bracket 56"/>
        <xdr:cNvSpPr/>
      </xdr:nvSpPr>
      <xdr:spPr>
        <a:xfrm>
          <a:off x="7023100" y="5022850"/>
          <a:ext cx="158750" cy="41910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 editAs="oneCell">
    <xdr:from>
      <xdr:col>13</xdr:col>
      <xdr:colOff>298450</xdr:colOff>
      <xdr:row>22</xdr:row>
      <xdr:rowOff>31750</xdr:rowOff>
    </xdr:from>
    <xdr:to>
      <xdr:col>14</xdr:col>
      <xdr:colOff>368300</xdr:colOff>
      <xdr:row>24</xdr:row>
      <xdr:rowOff>541</xdr:rowOff>
    </xdr:to>
    <xdr:pic>
      <xdr:nvPicPr>
        <xdr:cNvPr id="58" name="Picture 57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000" y="4133850"/>
          <a:ext cx="679450" cy="3370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15</xdr:col>
      <xdr:colOff>171450</xdr:colOff>
      <xdr:row>27</xdr:row>
      <xdr:rowOff>76200</xdr:rowOff>
    </xdr:to>
    <xdr:pic>
      <xdr:nvPicPr>
        <xdr:cNvPr id="59" name="Picture 58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7550" y="4654550"/>
          <a:ext cx="1911350" cy="44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101600</xdr:colOff>
      <xdr:row>28</xdr:row>
      <xdr:rowOff>146050</xdr:rowOff>
    </xdr:from>
    <xdr:to>
      <xdr:col>14</xdr:col>
      <xdr:colOff>298450</xdr:colOff>
      <xdr:row>31</xdr:row>
      <xdr:rowOff>44450</xdr:rowOff>
    </xdr:to>
    <xdr:sp macro="" textlink="">
      <xdr:nvSpPr>
        <xdr:cNvPr id="60" name="Left Bracket 59"/>
        <xdr:cNvSpPr/>
      </xdr:nvSpPr>
      <xdr:spPr>
        <a:xfrm>
          <a:off x="9658350" y="4064000"/>
          <a:ext cx="196850" cy="45085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571500</xdr:colOff>
      <xdr:row>28</xdr:row>
      <xdr:rowOff>171450</xdr:rowOff>
    </xdr:from>
    <xdr:to>
      <xdr:col>16</xdr:col>
      <xdr:colOff>120650</xdr:colOff>
      <xdr:row>31</xdr:row>
      <xdr:rowOff>38100</xdr:rowOff>
    </xdr:to>
    <xdr:sp macro="" textlink="">
      <xdr:nvSpPr>
        <xdr:cNvPr id="61" name="Right Bracket 60"/>
        <xdr:cNvSpPr/>
      </xdr:nvSpPr>
      <xdr:spPr>
        <a:xfrm>
          <a:off x="10737850" y="4089400"/>
          <a:ext cx="158750" cy="41910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>
    <xdr:from>
      <xdr:col>16</xdr:col>
      <xdr:colOff>457200</xdr:colOff>
      <xdr:row>28</xdr:row>
      <xdr:rowOff>171450</xdr:rowOff>
    </xdr:from>
    <xdr:to>
      <xdr:col>16</xdr:col>
      <xdr:colOff>603250</xdr:colOff>
      <xdr:row>31</xdr:row>
      <xdr:rowOff>69850</xdr:rowOff>
    </xdr:to>
    <xdr:sp macro="" textlink="">
      <xdr:nvSpPr>
        <xdr:cNvPr id="64" name="Left Bracket 63"/>
        <xdr:cNvSpPr/>
      </xdr:nvSpPr>
      <xdr:spPr>
        <a:xfrm>
          <a:off x="10623550" y="5378450"/>
          <a:ext cx="146050" cy="45085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184150</xdr:colOff>
      <xdr:row>29</xdr:row>
      <xdr:rowOff>19050</xdr:rowOff>
    </xdr:from>
    <xdr:to>
      <xdr:col>17</xdr:col>
      <xdr:colOff>342900</xdr:colOff>
      <xdr:row>31</xdr:row>
      <xdr:rowOff>69850</xdr:rowOff>
    </xdr:to>
    <xdr:sp macro="" textlink="">
      <xdr:nvSpPr>
        <xdr:cNvPr id="65" name="Right Bracket 64"/>
        <xdr:cNvSpPr/>
      </xdr:nvSpPr>
      <xdr:spPr>
        <a:xfrm>
          <a:off x="7912100" y="2832100"/>
          <a:ext cx="158750" cy="41910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>
    <xdr:from>
      <xdr:col>14</xdr:col>
      <xdr:colOff>622300</xdr:colOff>
      <xdr:row>32</xdr:row>
      <xdr:rowOff>171450</xdr:rowOff>
    </xdr:from>
    <xdr:to>
      <xdr:col>14</xdr:col>
      <xdr:colOff>819150</xdr:colOff>
      <xdr:row>35</xdr:row>
      <xdr:rowOff>69850</xdr:rowOff>
    </xdr:to>
    <xdr:sp macro="" textlink="">
      <xdr:nvSpPr>
        <xdr:cNvPr id="66" name="Left Bracket 65"/>
        <xdr:cNvSpPr/>
      </xdr:nvSpPr>
      <xdr:spPr>
        <a:xfrm>
          <a:off x="9569450" y="6115050"/>
          <a:ext cx="196850" cy="45085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1079500</xdr:colOff>
      <xdr:row>32</xdr:row>
      <xdr:rowOff>177800</xdr:rowOff>
    </xdr:from>
    <xdr:to>
      <xdr:col>15</xdr:col>
      <xdr:colOff>107950</xdr:colOff>
      <xdr:row>35</xdr:row>
      <xdr:rowOff>44450</xdr:rowOff>
    </xdr:to>
    <xdr:sp macro="" textlink="">
      <xdr:nvSpPr>
        <xdr:cNvPr id="67" name="Right Bracket 66"/>
        <xdr:cNvSpPr/>
      </xdr:nvSpPr>
      <xdr:spPr>
        <a:xfrm>
          <a:off x="10026650" y="6121400"/>
          <a:ext cx="158750" cy="41910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0</xdr:colOff>
          <xdr:row>33</xdr:row>
          <xdr:rowOff>0</xdr:rowOff>
        </xdr:from>
        <xdr:ext cx="615950" cy="190500"/>
        <xdr:pic>
          <xdr:nvPicPr>
            <xdr:cNvPr id="68" name="Picture 67"/>
            <xdr:cNvPicPr>
              <a:picLocks noChangeAspect="1" noChangeArrowheads="1"/>
              <a:extLst>
                <a:ext uri="{84589F7E-364E-4C9E-8A38-B11213B215E9}">
                  <a14:cameraTool cellRange="$I$17" spid="_x0000_s17641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8947150" y="6127750"/>
              <a:ext cx="615950" cy="1905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4</xdr:row>
      <xdr:rowOff>60325</xdr:rowOff>
    </xdr:from>
    <xdr:to>
      <xdr:col>13</xdr:col>
      <xdr:colOff>352425</xdr:colOff>
      <xdr:row>19</xdr:row>
      <xdr:rowOff>41275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457200</xdr:colOff>
      <xdr:row>15</xdr:row>
      <xdr:rowOff>63500</xdr:rowOff>
    </xdr:from>
    <xdr:to>
      <xdr:col>10</xdr:col>
      <xdr:colOff>171450</xdr:colOff>
      <xdr:row>16</xdr:row>
      <xdr:rowOff>139700</xdr:rowOff>
    </xdr:to>
    <xdr:sp macro="" textlink="">
      <xdr:nvSpPr>
        <xdr:cNvPr id="4" name="Oval 3"/>
        <xdr:cNvSpPr/>
      </xdr:nvSpPr>
      <xdr:spPr>
        <a:xfrm>
          <a:off x="5943600" y="2825750"/>
          <a:ext cx="323850" cy="260350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127000</xdr:colOff>
      <xdr:row>15</xdr:row>
      <xdr:rowOff>31750</xdr:rowOff>
    </xdr:from>
    <xdr:to>
      <xdr:col>12</xdr:col>
      <xdr:colOff>450850</xdr:colOff>
      <xdr:row>16</xdr:row>
      <xdr:rowOff>107950</xdr:rowOff>
    </xdr:to>
    <xdr:sp macro="" textlink="">
      <xdr:nvSpPr>
        <xdr:cNvPr id="5" name="Oval 4"/>
        <xdr:cNvSpPr/>
      </xdr:nvSpPr>
      <xdr:spPr>
        <a:xfrm>
          <a:off x="7442200" y="2794000"/>
          <a:ext cx="323850" cy="260350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438150</xdr:colOff>
      <xdr:row>7</xdr:row>
      <xdr:rowOff>158750</xdr:rowOff>
    </xdr:from>
    <xdr:to>
      <xdr:col>13</xdr:col>
      <xdr:colOff>152400</xdr:colOff>
      <xdr:row>9</xdr:row>
      <xdr:rowOff>50800</xdr:rowOff>
    </xdr:to>
    <xdr:sp macro="" textlink="">
      <xdr:nvSpPr>
        <xdr:cNvPr id="6" name="Oval 5"/>
        <xdr:cNvSpPr/>
      </xdr:nvSpPr>
      <xdr:spPr>
        <a:xfrm>
          <a:off x="7753350" y="1447800"/>
          <a:ext cx="323850" cy="260350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4</xdr:row>
      <xdr:rowOff>88900</xdr:rowOff>
    </xdr:from>
    <xdr:to>
      <xdr:col>5</xdr:col>
      <xdr:colOff>19050</xdr:colOff>
      <xdr:row>4</xdr:row>
      <xdr:rowOff>88900</xdr:rowOff>
    </xdr:to>
    <xdr:cxnSp macro="">
      <xdr:nvCxnSpPr>
        <xdr:cNvPr id="3" name="Straight Arrow Connector 2"/>
        <xdr:cNvCxnSpPr/>
      </xdr:nvCxnSpPr>
      <xdr:spPr>
        <a:xfrm>
          <a:off x="2209800" y="825500"/>
          <a:ext cx="8572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381000</xdr:colOff>
      <xdr:row>4</xdr:row>
      <xdr:rowOff>88900</xdr:rowOff>
    </xdr:from>
    <xdr:to>
      <xdr:col>11</xdr:col>
      <xdr:colOff>19050</xdr:colOff>
      <xdr:row>4</xdr:row>
      <xdr:rowOff>88900</xdr:rowOff>
    </xdr:to>
    <xdr:cxnSp macro="">
      <xdr:nvCxnSpPr>
        <xdr:cNvPr id="7" name="Straight Arrow Connector 6"/>
        <xdr:cNvCxnSpPr/>
      </xdr:nvCxnSpPr>
      <xdr:spPr>
        <a:xfrm>
          <a:off x="5867400" y="825500"/>
          <a:ext cx="8572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215900</xdr:colOff>
      <xdr:row>2</xdr:row>
      <xdr:rowOff>177800</xdr:rowOff>
    </xdr:from>
    <xdr:to>
      <xdr:col>1</xdr:col>
      <xdr:colOff>603250</xdr:colOff>
      <xdr:row>4</xdr:row>
      <xdr:rowOff>139700</xdr:rowOff>
    </xdr:to>
    <xdr:sp macro="" textlink="">
      <xdr:nvSpPr>
        <xdr:cNvPr id="8" name="Freeform 7"/>
        <xdr:cNvSpPr/>
      </xdr:nvSpPr>
      <xdr:spPr>
        <a:xfrm>
          <a:off x="825500" y="546100"/>
          <a:ext cx="387350" cy="330200"/>
        </a:xfrm>
        <a:custGeom>
          <a:avLst/>
          <a:gdLst>
            <a:gd name="connsiteX0" fmla="*/ 0 w 590550"/>
            <a:gd name="connsiteY0" fmla="*/ 0 h 315811"/>
            <a:gd name="connsiteX1" fmla="*/ 298450 w 590550"/>
            <a:gd name="connsiteY1" fmla="*/ 298450 h 315811"/>
            <a:gd name="connsiteX2" fmla="*/ 406400 w 590550"/>
            <a:gd name="connsiteY2" fmla="*/ 279400 h 315811"/>
            <a:gd name="connsiteX3" fmla="*/ 590550 w 590550"/>
            <a:gd name="connsiteY3" fmla="*/ 273050 h 31581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590550" h="315811">
              <a:moveTo>
                <a:pt x="0" y="0"/>
              </a:moveTo>
              <a:cubicBezTo>
                <a:pt x="115358" y="125941"/>
                <a:pt x="230717" y="251883"/>
                <a:pt x="298450" y="298450"/>
              </a:cubicBezTo>
              <a:cubicBezTo>
                <a:pt x="366183" y="345017"/>
                <a:pt x="357717" y="283633"/>
                <a:pt x="406400" y="279400"/>
              </a:cubicBezTo>
              <a:cubicBezTo>
                <a:pt x="455083" y="275167"/>
                <a:pt x="522816" y="274108"/>
                <a:pt x="590550" y="273050"/>
              </a:cubicBezTo>
            </a:path>
          </a:pathLst>
        </a:cu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577850</xdr:colOff>
      <xdr:row>4</xdr:row>
      <xdr:rowOff>76200</xdr:rowOff>
    </xdr:from>
    <xdr:to>
      <xdr:col>13</xdr:col>
      <xdr:colOff>222250</xdr:colOff>
      <xdr:row>7</xdr:row>
      <xdr:rowOff>63500</xdr:rowOff>
    </xdr:to>
    <xdr:sp macro="" textlink="">
      <xdr:nvSpPr>
        <xdr:cNvPr id="9" name="Arc 8"/>
        <xdr:cNvSpPr/>
      </xdr:nvSpPr>
      <xdr:spPr>
        <a:xfrm>
          <a:off x="7950200" y="812800"/>
          <a:ext cx="254000" cy="539750"/>
        </a:xfrm>
        <a:prstGeom prst="arc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392166</xdr:colOff>
      <xdr:row>4</xdr:row>
      <xdr:rowOff>82550</xdr:rowOff>
    </xdr:from>
    <xdr:to>
      <xdr:col>6</xdr:col>
      <xdr:colOff>590550</xdr:colOff>
      <xdr:row>9</xdr:row>
      <xdr:rowOff>131604</xdr:rowOff>
    </xdr:to>
    <xdr:sp macro="" textlink="">
      <xdr:nvSpPr>
        <xdr:cNvPr id="10" name="Freeform 9"/>
        <xdr:cNvSpPr/>
      </xdr:nvSpPr>
      <xdr:spPr>
        <a:xfrm>
          <a:off x="2220966" y="819150"/>
          <a:ext cx="2084334" cy="969804"/>
        </a:xfrm>
        <a:custGeom>
          <a:avLst/>
          <a:gdLst>
            <a:gd name="connsiteX0" fmla="*/ 2084334 w 2084334"/>
            <a:gd name="connsiteY0" fmla="*/ 0 h 969804"/>
            <a:gd name="connsiteX1" fmla="*/ 128534 w 2084334"/>
            <a:gd name="connsiteY1" fmla="*/ 660400 h 969804"/>
            <a:gd name="connsiteX2" fmla="*/ 198384 w 2084334"/>
            <a:gd name="connsiteY2" fmla="*/ 946150 h 969804"/>
            <a:gd name="connsiteX3" fmla="*/ 287284 w 2084334"/>
            <a:gd name="connsiteY3" fmla="*/ 933450 h 96980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2084334" h="969804">
              <a:moveTo>
                <a:pt x="2084334" y="0"/>
              </a:moveTo>
              <a:cubicBezTo>
                <a:pt x="1263596" y="251354"/>
                <a:pt x="442859" y="502708"/>
                <a:pt x="128534" y="660400"/>
              </a:cubicBezTo>
              <a:cubicBezTo>
                <a:pt x="-185791" y="818092"/>
                <a:pt x="171926" y="900642"/>
                <a:pt x="198384" y="946150"/>
              </a:cubicBezTo>
              <a:cubicBezTo>
                <a:pt x="224842" y="991658"/>
                <a:pt x="256063" y="962554"/>
                <a:pt x="287284" y="933450"/>
              </a:cubicBezTo>
            </a:path>
          </a:pathLst>
        </a:cu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431800</xdr:colOff>
      <xdr:row>4</xdr:row>
      <xdr:rowOff>108134</xdr:rowOff>
    </xdr:from>
    <xdr:to>
      <xdr:col>8</xdr:col>
      <xdr:colOff>257226</xdr:colOff>
      <xdr:row>9</xdr:row>
      <xdr:rowOff>101600</xdr:rowOff>
    </xdr:to>
    <xdr:sp macro="" textlink="">
      <xdr:nvSpPr>
        <xdr:cNvPr id="11" name="Freeform 10"/>
        <xdr:cNvSpPr/>
      </xdr:nvSpPr>
      <xdr:spPr>
        <a:xfrm>
          <a:off x="3536950" y="844734"/>
          <a:ext cx="1654226" cy="914216"/>
        </a:xfrm>
        <a:custGeom>
          <a:avLst/>
          <a:gdLst>
            <a:gd name="connsiteX0" fmla="*/ 0 w 1654226"/>
            <a:gd name="connsiteY0" fmla="*/ 914216 h 914216"/>
            <a:gd name="connsiteX1" fmla="*/ 1574800 w 1654226"/>
            <a:gd name="connsiteY1" fmla="*/ 749116 h 914216"/>
            <a:gd name="connsiteX2" fmla="*/ 1416050 w 1654226"/>
            <a:gd name="connsiteY2" fmla="*/ 69666 h 914216"/>
            <a:gd name="connsiteX3" fmla="*/ 1377950 w 1654226"/>
            <a:gd name="connsiteY3" fmla="*/ 56966 h 91421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654226" h="914216">
              <a:moveTo>
                <a:pt x="0" y="914216"/>
              </a:moveTo>
              <a:cubicBezTo>
                <a:pt x="669396" y="902045"/>
                <a:pt x="1338792" y="889874"/>
                <a:pt x="1574800" y="749116"/>
              </a:cubicBezTo>
              <a:cubicBezTo>
                <a:pt x="1810808" y="608358"/>
                <a:pt x="1448858" y="185024"/>
                <a:pt x="1416050" y="69666"/>
              </a:cubicBezTo>
              <a:cubicBezTo>
                <a:pt x="1383242" y="-45692"/>
                <a:pt x="1380596" y="5637"/>
                <a:pt x="1377950" y="56966"/>
              </a:cubicBezTo>
            </a:path>
          </a:pathLst>
        </a:cu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38100</xdr:colOff>
      <xdr:row>9</xdr:row>
      <xdr:rowOff>114300</xdr:rowOff>
    </xdr:from>
    <xdr:to>
      <xdr:col>11</xdr:col>
      <xdr:colOff>120650</xdr:colOff>
      <xdr:row>13</xdr:row>
      <xdr:rowOff>44450</xdr:rowOff>
    </xdr:to>
    <xdr:sp macro="" textlink="">
      <xdr:nvSpPr>
        <xdr:cNvPr id="12" name="Oval 11"/>
        <xdr:cNvSpPr/>
      </xdr:nvSpPr>
      <xdr:spPr>
        <a:xfrm>
          <a:off x="6191250" y="1771650"/>
          <a:ext cx="692150" cy="6667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A</a:t>
          </a:r>
        </a:p>
      </xdr:txBody>
    </xdr:sp>
    <xdr:clientData/>
  </xdr:twoCellAnchor>
  <xdr:twoCellAnchor>
    <xdr:from>
      <xdr:col>9</xdr:col>
      <xdr:colOff>196850</xdr:colOff>
      <xdr:row>12</xdr:row>
      <xdr:rowOff>130957</xdr:rowOff>
    </xdr:from>
    <xdr:to>
      <xdr:col>10</xdr:col>
      <xdr:colOff>139463</xdr:colOff>
      <xdr:row>16</xdr:row>
      <xdr:rowOff>63500</xdr:rowOff>
    </xdr:to>
    <xdr:cxnSp macro="">
      <xdr:nvCxnSpPr>
        <xdr:cNvPr id="14" name="Straight Arrow Connector 13"/>
        <xdr:cNvCxnSpPr>
          <a:stCxn id="12" idx="3"/>
        </xdr:cNvCxnSpPr>
      </xdr:nvCxnSpPr>
      <xdr:spPr>
        <a:xfrm flipH="1">
          <a:off x="5740400" y="2340757"/>
          <a:ext cx="552213" cy="6691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406400</xdr:colOff>
      <xdr:row>16</xdr:row>
      <xdr:rowOff>63500</xdr:rowOff>
    </xdr:from>
    <xdr:to>
      <xdr:col>9</xdr:col>
      <xdr:colOff>488950</xdr:colOff>
      <xdr:row>19</xdr:row>
      <xdr:rowOff>177800</xdr:rowOff>
    </xdr:to>
    <xdr:sp macro="" textlink="">
      <xdr:nvSpPr>
        <xdr:cNvPr id="15" name="Oval 14"/>
        <xdr:cNvSpPr/>
      </xdr:nvSpPr>
      <xdr:spPr>
        <a:xfrm>
          <a:off x="5340350" y="3009900"/>
          <a:ext cx="692150" cy="6667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B</a:t>
          </a:r>
        </a:p>
      </xdr:txBody>
    </xdr:sp>
    <xdr:clientData/>
  </xdr:twoCellAnchor>
  <xdr:twoCellAnchor>
    <xdr:from>
      <xdr:col>11</xdr:col>
      <xdr:colOff>374650</xdr:colOff>
      <xdr:row>16</xdr:row>
      <xdr:rowOff>107950</xdr:rowOff>
    </xdr:from>
    <xdr:to>
      <xdr:col>12</xdr:col>
      <xdr:colOff>457200</xdr:colOff>
      <xdr:row>20</xdr:row>
      <xdr:rowOff>38100</xdr:rowOff>
    </xdr:to>
    <xdr:sp macro="" textlink="">
      <xdr:nvSpPr>
        <xdr:cNvPr id="16" name="Oval 15"/>
        <xdr:cNvSpPr/>
      </xdr:nvSpPr>
      <xdr:spPr>
        <a:xfrm>
          <a:off x="7137400" y="3054350"/>
          <a:ext cx="692150" cy="6667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C</a:t>
          </a:r>
        </a:p>
      </xdr:txBody>
    </xdr:sp>
    <xdr:clientData/>
  </xdr:twoCellAnchor>
  <xdr:twoCellAnchor>
    <xdr:from>
      <xdr:col>11</xdr:col>
      <xdr:colOff>19287</xdr:colOff>
      <xdr:row>12</xdr:row>
      <xdr:rowOff>130957</xdr:rowOff>
    </xdr:from>
    <xdr:to>
      <xdr:col>12</xdr:col>
      <xdr:colOff>111125</xdr:colOff>
      <xdr:row>16</xdr:row>
      <xdr:rowOff>107950</xdr:rowOff>
    </xdr:to>
    <xdr:cxnSp macro="">
      <xdr:nvCxnSpPr>
        <xdr:cNvPr id="17" name="Straight Arrow Connector 16"/>
        <xdr:cNvCxnSpPr>
          <a:stCxn id="12" idx="5"/>
          <a:endCxn id="16" idx="0"/>
        </xdr:cNvCxnSpPr>
      </xdr:nvCxnSpPr>
      <xdr:spPr>
        <a:xfrm>
          <a:off x="6782037" y="2340757"/>
          <a:ext cx="701438" cy="71359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558800</xdr:colOff>
      <xdr:row>20</xdr:row>
      <xdr:rowOff>107950</xdr:rowOff>
    </xdr:from>
    <xdr:to>
      <xdr:col>8</xdr:col>
      <xdr:colOff>501413</xdr:colOff>
      <xdr:row>24</xdr:row>
      <xdr:rowOff>40493</xdr:rowOff>
    </xdr:to>
    <xdr:cxnSp macro="">
      <xdr:nvCxnSpPr>
        <xdr:cNvPr id="21" name="Straight Arrow Connector 20"/>
        <xdr:cNvCxnSpPr/>
      </xdr:nvCxnSpPr>
      <xdr:spPr>
        <a:xfrm flipH="1">
          <a:off x="4883150" y="3790950"/>
          <a:ext cx="552213" cy="6691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139700</xdr:colOff>
      <xdr:row>23</xdr:row>
      <xdr:rowOff>40493</xdr:rowOff>
    </xdr:from>
    <xdr:to>
      <xdr:col>8</xdr:col>
      <xdr:colOff>222250</xdr:colOff>
      <xdr:row>26</xdr:row>
      <xdr:rowOff>154793</xdr:rowOff>
    </xdr:to>
    <xdr:sp macro="" textlink="">
      <xdr:nvSpPr>
        <xdr:cNvPr id="22" name="Oval 21"/>
        <xdr:cNvSpPr/>
      </xdr:nvSpPr>
      <xdr:spPr>
        <a:xfrm>
          <a:off x="4464050" y="4275943"/>
          <a:ext cx="692150" cy="6667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B1</a:t>
          </a:r>
        </a:p>
      </xdr:txBody>
    </xdr:sp>
    <xdr:clientData/>
  </xdr:twoCellAnchor>
  <xdr:twoCellAnchor>
    <xdr:from>
      <xdr:col>10</xdr:col>
      <xdr:colOff>107950</xdr:colOff>
      <xdr:row>23</xdr:row>
      <xdr:rowOff>84943</xdr:rowOff>
    </xdr:from>
    <xdr:to>
      <xdr:col>11</xdr:col>
      <xdr:colOff>190500</xdr:colOff>
      <xdr:row>27</xdr:row>
      <xdr:rowOff>15093</xdr:rowOff>
    </xdr:to>
    <xdr:sp macro="" textlink="">
      <xdr:nvSpPr>
        <xdr:cNvPr id="23" name="Oval 22"/>
        <xdr:cNvSpPr/>
      </xdr:nvSpPr>
      <xdr:spPr>
        <a:xfrm>
          <a:off x="6261100" y="4320393"/>
          <a:ext cx="692150" cy="6667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B2</a:t>
          </a:r>
        </a:p>
      </xdr:txBody>
    </xdr:sp>
    <xdr:clientData/>
  </xdr:twoCellAnchor>
  <xdr:twoCellAnchor>
    <xdr:from>
      <xdr:col>9</xdr:col>
      <xdr:colOff>362187</xdr:colOff>
      <xdr:row>19</xdr:row>
      <xdr:rowOff>107950</xdr:rowOff>
    </xdr:from>
    <xdr:to>
      <xdr:col>10</xdr:col>
      <xdr:colOff>454025</xdr:colOff>
      <xdr:row>23</xdr:row>
      <xdr:rowOff>84943</xdr:rowOff>
    </xdr:to>
    <xdr:cxnSp macro="">
      <xdr:nvCxnSpPr>
        <xdr:cNvPr id="24" name="Straight Arrow Connector 23"/>
        <xdr:cNvCxnSpPr>
          <a:endCxn id="23" idx="0"/>
        </xdr:cNvCxnSpPr>
      </xdr:nvCxnSpPr>
      <xdr:spPr>
        <a:xfrm>
          <a:off x="5905737" y="3606800"/>
          <a:ext cx="701438" cy="71359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495300</xdr:colOff>
      <xdr:row>17</xdr:row>
      <xdr:rowOff>50800</xdr:rowOff>
    </xdr:from>
    <xdr:to>
      <xdr:col>12</xdr:col>
      <xdr:colOff>437913</xdr:colOff>
      <xdr:row>20</xdr:row>
      <xdr:rowOff>167493</xdr:rowOff>
    </xdr:to>
    <xdr:cxnSp macro="">
      <xdr:nvCxnSpPr>
        <xdr:cNvPr id="25" name="Straight Arrow Connector 24"/>
        <xdr:cNvCxnSpPr/>
      </xdr:nvCxnSpPr>
      <xdr:spPr>
        <a:xfrm flipH="1">
          <a:off x="7258050" y="3181350"/>
          <a:ext cx="552213" cy="6691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95250</xdr:colOff>
      <xdr:row>20</xdr:row>
      <xdr:rowOff>167493</xdr:rowOff>
    </xdr:from>
    <xdr:to>
      <xdr:col>12</xdr:col>
      <xdr:colOff>177800</xdr:colOff>
      <xdr:row>24</xdr:row>
      <xdr:rowOff>97643</xdr:rowOff>
    </xdr:to>
    <xdr:sp macro="" textlink="">
      <xdr:nvSpPr>
        <xdr:cNvPr id="26" name="Oval 25"/>
        <xdr:cNvSpPr/>
      </xdr:nvSpPr>
      <xdr:spPr>
        <a:xfrm>
          <a:off x="6858000" y="3850493"/>
          <a:ext cx="692150" cy="6667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C1</a:t>
          </a:r>
        </a:p>
      </xdr:txBody>
    </xdr:sp>
    <xdr:clientData/>
  </xdr:twoCellAnchor>
  <xdr:twoCellAnchor>
    <xdr:from>
      <xdr:col>13</xdr:col>
      <xdr:colOff>57150</xdr:colOff>
      <xdr:row>20</xdr:row>
      <xdr:rowOff>142093</xdr:rowOff>
    </xdr:from>
    <xdr:to>
      <xdr:col>14</xdr:col>
      <xdr:colOff>139700</xdr:colOff>
      <xdr:row>24</xdr:row>
      <xdr:rowOff>72243</xdr:rowOff>
    </xdr:to>
    <xdr:sp macro="" textlink="">
      <xdr:nvSpPr>
        <xdr:cNvPr id="27" name="Oval 26"/>
        <xdr:cNvSpPr/>
      </xdr:nvSpPr>
      <xdr:spPr>
        <a:xfrm>
          <a:off x="8039100" y="3825093"/>
          <a:ext cx="692150" cy="6667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C2</a:t>
          </a:r>
        </a:p>
      </xdr:txBody>
    </xdr:sp>
    <xdr:clientData/>
  </xdr:twoCellAnchor>
  <xdr:twoCellAnchor>
    <xdr:from>
      <xdr:col>12</xdr:col>
      <xdr:colOff>400287</xdr:colOff>
      <xdr:row>18</xdr:row>
      <xdr:rowOff>158750</xdr:rowOff>
    </xdr:from>
    <xdr:to>
      <xdr:col>13</xdr:col>
      <xdr:colOff>209550</xdr:colOff>
      <xdr:row>21</xdr:row>
      <xdr:rowOff>6350</xdr:rowOff>
    </xdr:to>
    <xdr:cxnSp macro="">
      <xdr:nvCxnSpPr>
        <xdr:cNvPr id="28" name="Straight Arrow Connector 27"/>
        <xdr:cNvCxnSpPr/>
      </xdr:nvCxnSpPr>
      <xdr:spPr>
        <a:xfrm>
          <a:off x="7772637" y="3473450"/>
          <a:ext cx="418863" cy="400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209550</xdr:colOff>
      <xdr:row>11</xdr:row>
      <xdr:rowOff>38100</xdr:rowOff>
    </xdr:from>
    <xdr:to>
      <xdr:col>10</xdr:col>
      <xdr:colOff>38100</xdr:colOff>
      <xdr:row>11</xdr:row>
      <xdr:rowOff>79375</xdr:rowOff>
    </xdr:to>
    <xdr:cxnSp macro="">
      <xdr:nvCxnSpPr>
        <xdr:cNvPr id="31" name="Straight Arrow Connector 30"/>
        <xdr:cNvCxnSpPr>
          <a:endCxn id="12" idx="2"/>
        </xdr:cNvCxnSpPr>
      </xdr:nvCxnSpPr>
      <xdr:spPr>
        <a:xfrm>
          <a:off x="5143500" y="2063750"/>
          <a:ext cx="1047750" cy="41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317500</xdr:colOff>
      <xdr:row>11</xdr:row>
      <xdr:rowOff>6350</xdr:rowOff>
    </xdr:from>
    <xdr:to>
      <xdr:col>8</xdr:col>
      <xdr:colOff>330200</xdr:colOff>
      <xdr:row>13</xdr:row>
      <xdr:rowOff>158750</xdr:rowOff>
    </xdr:to>
    <xdr:sp macro="" textlink="">
      <xdr:nvSpPr>
        <xdr:cNvPr id="32" name="TextBox 31"/>
        <xdr:cNvSpPr txBox="1"/>
      </xdr:nvSpPr>
      <xdr:spPr>
        <a:xfrm>
          <a:off x="4032250" y="2032000"/>
          <a:ext cx="1231900" cy="520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Root Node / Parent Node</a:t>
          </a:r>
        </a:p>
      </xdr:txBody>
    </xdr:sp>
    <xdr:clientData/>
  </xdr:twoCellAnchor>
  <xdr:twoCellAnchor>
    <xdr:from>
      <xdr:col>7</xdr:col>
      <xdr:colOff>25400</xdr:colOff>
      <xdr:row>16</xdr:row>
      <xdr:rowOff>158750</xdr:rowOff>
    </xdr:from>
    <xdr:to>
      <xdr:col>8</xdr:col>
      <xdr:colOff>463550</xdr:colOff>
      <xdr:row>17</xdr:row>
      <xdr:rowOff>15875</xdr:rowOff>
    </xdr:to>
    <xdr:cxnSp macro="">
      <xdr:nvCxnSpPr>
        <xdr:cNvPr id="33" name="Straight Arrow Connector 32"/>
        <xdr:cNvCxnSpPr/>
      </xdr:nvCxnSpPr>
      <xdr:spPr>
        <a:xfrm>
          <a:off x="4349750" y="3105150"/>
          <a:ext cx="1047750" cy="41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133350</xdr:colOff>
      <xdr:row>16</xdr:row>
      <xdr:rowOff>127000</xdr:rowOff>
    </xdr:from>
    <xdr:to>
      <xdr:col>7</xdr:col>
      <xdr:colOff>146050</xdr:colOff>
      <xdr:row>20</xdr:row>
      <xdr:rowOff>63500</xdr:rowOff>
    </xdr:to>
    <xdr:sp macro="" textlink="">
      <xdr:nvSpPr>
        <xdr:cNvPr id="34" name="TextBox 33"/>
        <xdr:cNvSpPr txBox="1"/>
      </xdr:nvSpPr>
      <xdr:spPr>
        <a:xfrm>
          <a:off x="3238500" y="3073400"/>
          <a:ext cx="1231900" cy="673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Child Node of A and Parent Node of B1 and B2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activeCell="E10" sqref="E10"/>
    </sheetView>
  </sheetViews>
  <sheetFormatPr defaultRowHeight="14.5"/>
  <cols>
    <col min="1" max="1" width="14.6328125" bestFit="1" customWidth="1"/>
    <col min="3" max="3" width="18.1796875" customWidth="1"/>
  </cols>
  <sheetData>
    <row r="1" spans="1:7" ht="28" thickBot="1">
      <c r="A1" s="91" t="s">
        <v>22</v>
      </c>
      <c r="B1" s="92"/>
      <c r="C1" s="92"/>
      <c r="D1" s="92"/>
      <c r="E1" s="92"/>
      <c r="F1" s="92"/>
      <c r="G1" s="93"/>
    </row>
    <row r="2" spans="1:7">
      <c r="A2" s="17"/>
      <c r="B2" s="18"/>
      <c r="C2" s="18"/>
      <c r="D2" s="18"/>
      <c r="E2" s="18"/>
      <c r="F2" s="18"/>
      <c r="G2" s="19"/>
    </row>
    <row r="3" spans="1:7" ht="18">
      <c r="A3" s="20" t="s">
        <v>13</v>
      </c>
      <c r="B3" s="21" t="s">
        <v>0</v>
      </c>
      <c r="C3" s="22"/>
      <c r="D3" s="22"/>
      <c r="E3" s="22"/>
      <c r="F3" s="22"/>
      <c r="G3" s="23"/>
    </row>
    <row r="4" spans="1:7" ht="15" thickBot="1">
      <c r="A4" s="20"/>
      <c r="B4" s="22"/>
      <c r="C4" s="22"/>
      <c r="D4" s="22"/>
      <c r="E4" s="22"/>
      <c r="F4" s="22"/>
      <c r="G4" s="23"/>
    </row>
    <row r="5" spans="1:7" ht="15" thickBot="1">
      <c r="A5" s="20"/>
      <c r="B5" s="22"/>
      <c r="C5" s="22"/>
      <c r="D5" s="94" t="s">
        <v>22</v>
      </c>
      <c r="E5" s="95"/>
      <c r="F5" s="22"/>
      <c r="G5" s="23"/>
    </row>
    <row r="6" spans="1:7" ht="15" thickBot="1">
      <c r="A6" s="20"/>
      <c r="B6" s="22"/>
      <c r="C6" s="22"/>
      <c r="D6" s="14" t="s">
        <v>2</v>
      </c>
      <c r="E6" s="14" t="s">
        <v>3</v>
      </c>
      <c r="F6" s="22"/>
      <c r="G6" s="23"/>
    </row>
    <row r="7" spans="1:7">
      <c r="A7" s="20"/>
      <c r="B7" s="22"/>
      <c r="C7" s="22"/>
      <c r="D7" s="32">
        <v>1</v>
      </c>
      <c r="E7" s="33">
        <v>2</v>
      </c>
      <c r="F7" s="22"/>
      <c r="G7" s="23"/>
    </row>
    <row r="8" spans="1:7">
      <c r="A8" s="20"/>
      <c r="B8" s="22"/>
      <c r="C8" s="22"/>
      <c r="D8" s="6">
        <v>3</v>
      </c>
      <c r="E8" s="1">
        <v>4</v>
      </c>
      <c r="F8" s="22"/>
      <c r="G8" s="23"/>
    </row>
    <row r="9" spans="1:7" ht="15" thickBot="1">
      <c r="A9" s="20"/>
      <c r="B9" s="22"/>
      <c r="C9" s="22"/>
      <c r="D9" s="8">
        <v>5</v>
      </c>
      <c r="E9" s="9">
        <v>6</v>
      </c>
      <c r="F9" s="22"/>
      <c r="G9" s="23"/>
    </row>
    <row r="10" spans="1:7">
      <c r="A10" s="20"/>
      <c r="B10" s="22"/>
      <c r="C10" s="22"/>
      <c r="D10" s="22"/>
      <c r="E10" s="22"/>
      <c r="F10" s="22"/>
      <c r="G10" s="23"/>
    </row>
    <row r="11" spans="1:7">
      <c r="A11" s="20"/>
      <c r="B11" s="22"/>
      <c r="C11" s="16" t="s">
        <v>20</v>
      </c>
      <c r="D11" s="1">
        <v>2</v>
      </c>
      <c r="E11" s="1">
        <v>3</v>
      </c>
      <c r="F11" s="22"/>
      <c r="G11" s="23"/>
    </row>
    <row r="12" spans="1:7">
      <c r="A12" s="20"/>
      <c r="B12" s="22"/>
      <c r="C12" s="16" t="s">
        <v>21</v>
      </c>
      <c r="D12" s="1">
        <v>4</v>
      </c>
      <c r="E12" s="1">
        <v>5</v>
      </c>
      <c r="F12" s="22"/>
      <c r="G12" s="23"/>
    </row>
    <row r="13" spans="1:7">
      <c r="A13" s="20"/>
      <c r="B13" s="22"/>
      <c r="C13" s="16" t="s">
        <v>22</v>
      </c>
      <c r="D13" s="1">
        <f>D12-D11</f>
        <v>2</v>
      </c>
      <c r="E13" s="1">
        <f>E12-E11</f>
        <v>2</v>
      </c>
      <c r="F13" s="22"/>
      <c r="G13" s="23"/>
    </row>
    <row r="14" spans="1:7">
      <c r="A14" s="20"/>
      <c r="B14" s="22"/>
      <c r="C14" s="22"/>
      <c r="D14" s="22"/>
      <c r="E14" s="22"/>
      <c r="F14" s="22"/>
      <c r="G14" s="23"/>
    </row>
    <row r="15" spans="1:7" ht="15.5">
      <c r="A15" s="20"/>
      <c r="B15" s="22"/>
      <c r="C15" s="37" t="s">
        <v>38</v>
      </c>
      <c r="D15" s="22"/>
      <c r="E15" s="22"/>
      <c r="F15" s="22"/>
      <c r="G15" s="23"/>
    </row>
    <row r="16" spans="1:7" ht="15.5">
      <c r="A16" s="20"/>
      <c r="B16" s="22"/>
      <c r="C16" s="37" t="s">
        <v>39</v>
      </c>
      <c r="D16" s="22"/>
      <c r="E16" s="22"/>
      <c r="F16" s="22"/>
      <c r="G16" s="23"/>
    </row>
    <row r="17" spans="1:7">
      <c r="A17" s="20"/>
      <c r="B17" s="22"/>
      <c r="C17" s="22"/>
      <c r="D17" s="22"/>
      <c r="E17" s="22"/>
      <c r="F17" s="22"/>
      <c r="G17" s="23"/>
    </row>
    <row r="18" spans="1:7">
      <c r="A18" s="20"/>
      <c r="B18" s="22"/>
      <c r="C18" s="16" t="s">
        <v>40</v>
      </c>
      <c r="D18" s="1">
        <f>D11-(1.5*D13)</f>
        <v>-1</v>
      </c>
      <c r="E18" s="1">
        <f>E11-(1.5*E13)</f>
        <v>0</v>
      </c>
      <c r="F18" s="22"/>
      <c r="G18" s="23"/>
    </row>
    <row r="19" spans="1:7">
      <c r="A19" s="20"/>
      <c r="B19" s="22"/>
      <c r="C19" s="16" t="s">
        <v>41</v>
      </c>
      <c r="D19" s="1">
        <f>D12+(1.5*D13)</f>
        <v>7</v>
      </c>
      <c r="E19" s="1">
        <f>E12+(1.5*E13)</f>
        <v>8</v>
      </c>
      <c r="F19" s="22"/>
      <c r="G19" s="23"/>
    </row>
    <row r="20" spans="1:7">
      <c r="A20" s="20"/>
      <c r="B20" s="22"/>
      <c r="C20" s="38"/>
      <c r="D20" s="22"/>
      <c r="E20" s="22"/>
      <c r="F20" s="22"/>
      <c r="G20" s="23"/>
    </row>
    <row r="21" spans="1:7" ht="15" thickBot="1">
      <c r="A21" s="24"/>
      <c r="B21" s="25"/>
      <c r="C21" s="25"/>
      <c r="D21" s="25"/>
      <c r="E21" s="25"/>
      <c r="F21" s="25"/>
      <c r="G21" s="26"/>
    </row>
  </sheetData>
  <mergeCells count="2">
    <mergeCell ref="A1:G1"/>
    <mergeCell ref="D5:E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4"/>
  <sheetViews>
    <sheetView workbookViewId="0">
      <selection activeCell="H6" sqref="H6:I8"/>
    </sheetView>
  </sheetViews>
  <sheetFormatPr defaultRowHeight="14.5"/>
  <cols>
    <col min="1" max="1" width="25.81640625" bestFit="1" customWidth="1"/>
    <col min="2" max="2" width="9.7265625" customWidth="1"/>
    <col min="3" max="3" width="11" customWidth="1"/>
    <col min="4" max="4" width="19.81640625" bestFit="1" customWidth="1"/>
    <col min="5" max="5" width="19.81640625" customWidth="1"/>
    <col min="6" max="7" width="24" bestFit="1" customWidth="1"/>
    <col min="8" max="9" width="13.1796875" bestFit="1" customWidth="1"/>
  </cols>
  <sheetData>
    <row r="2" spans="1:9" ht="18">
      <c r="A2" t="s">
        <v>13</v>
      </c>
      <c r="B2" s="5" t="s">
        <v>0</v>
      </c>
    </row>
    <row r="3" spans="1:9" ht="18.5" thickBot="1">
      <c r="B3" s="5"/>
    </row>
    <row r="4" spans="1:9" ht="20.5" thickBot="1">
      <c r="B4" s="96" t="s">
        <v>12</v>
      </c>
      <c r="C4" s="97"/>
      <c r="D4" s="97"/>
      <c r="E4" s="97"/>
      <c r="F4" s="97"/>
      <c r="G4" s="97"/>
      <c r="H4" s="97"/>
      <c r="I4" s="98"/>
    </row>
    <row r="5" spans="1:9" ht="26">
      <c r="B5" s="30" t="s">
        <v>2</v>
      </c>
      <c r="C5" s="30" t="s">
        <v>3</v>
      </c>
      <c r="D5" s="30" t="s">
        <v>4</v>
      </c>
      <c r="E5" s="30" t="s">
        <v>5</v>
      </c>
      <c r="F5" s="30" t="s">
        <v>6</v>
      </c>
      <c r="G5" s="30" t="s">
        <v>7</v>
      </c>
      <c r="H5" s="31" t="s">
        <v>11</v>
      </c>
      <c r="I5" s="31" t="s">
        <v>11</v>
      </c>
    </row>
    <row r="6" spans="1:9">
      <c r="B6" s="1">
        <v>1</v>
      </c>
      <c r="C6" s="1">
        <v>2</v>
      </c>
      <c r="D6" s="1">
        <f>B6-$B$13</f>
        <v>-2</v>
      </c>
      <c r="E6" s="1">
        <f>C6-$C$13</f>
        <v>-2</v>
      </c>
      <c r="F6" s="1">
        <f t="shared" ref="F6:G8" si="0">D6^2</f>
        <v>4</v>
      </c>
      <c r="G6" s="1">
        <f t="shared" si="0"/>
        <v>4</v>
      </c>
      <c r="H6" s="2">
        <f>(B6-B13)/F12</f>
        <v>-1.2247448713915889</v>
      </c>
      <c r="I6" s="2">
        <f>(C6-C13)/G12</f>
        <v>-1.2247448713915889</v>
      </c>
    </row>
    <row r="7" spans="1:9">
      <c r="B7" s="1">
        <v>3</v>
      </c>
      <c r="C7" s="1">
        <v>4</v>
      </c>
      <c r="D7" s="1">
        <f>B7-$B$13</f>
        <v>0</v>
      </c>
      <c r="E7" s="1">
        <f>C7-$C$13</f>
        <v>0</v>
      </c>
      <c r="F7" s="1">
        <f t="shared" si="0"/>
        <v>0</v>
      </c>
      <c r="G7" s="1">
        <f t="shared" si="0"/>
        <v>0</v>
      </c>
      <c r="H7" s="3">
        <f>(B7-B13)/F12</f>
        <v>0</v>
      </c>
      <c r="I7" s="3">
        <f>(C7-C13)/G12</f>
        <v>0</v>
      </c>
    </row>
    <row r="8" spans="1:9">
      <c r="B8" s="1">
        <v>5</v>
      </c>
      <c r="C8" s="1">
        <v>6</v>
      </c>
      <c r="D8" s="1">
        <f>B8-$B$13</f>
        <v>2</v>
      </c>
      <c r="E8" s="1">
        <f>C8-$C$13</f>
        <v>2</v>
      </c>
      <c r="F8" s="1">
        <f t="shared" si="0"/>
        <v>4</v>
      </c>
      <c r="G8" s="1">
        <f t="shared" si="0"/>
        <v>4</v>
      </c>
      <c r="H8" s="2">
        <f>(B8-B13)/F12</f>
        <v>1.2247448713915889</v>
      </c>
      <c r="I8" s="2">
        <f>(C8-C13)/G12</f>
        <v>1.2247448713915889</v>
      </c>
    </row>
    <row r="9" spans="1:9">
      <c r="B9" s="22"/>
      <c r="C9" s="22"/>
      <c r="D9" s="22"/>
      <c r="E9" s="22"/>
      <c r="F9" s="22"/>
      <c r="G9" s="22"/>
      <c r="H9" s="27"/>
      <c r="I9" s="27"/>
    </row>
    <row r="10" spans="1:9">
      <c r="A10" s="1" t="s">
        <v>10</v>
      </c>
      <c r="B10" s="28">
        <v>3</v>
      </c>
      <c r="C10" s="28">
        <v>3</v>
      </c>
    </row>
    <row r="11" spans="1:9" ht="58">
      <c r="A11" s="1" t="s">
        <v>8</v>
      </c>
      <c r="B11" s="1">
        <f>SUM(B6:B10)</f>
        <v>12</v>
      </c>
      <c r="C11" s="1">
        <f>SUM(C6:C10)</f>
        <v>15</v>
      </c>
      <c r="E11" s="29" t="s">
        <v>9</v>
      </c>
      <c r="F11" s="1">
        <f>SUM(F6:F8)/B10</f>
        <v>2.6666666666666665</v>
      </c>
      <c r="G11" s="1">
        <f>SUM(G6:G8)/B10</f>
        <v>2.6666666666666665</v>
      </c>
      <c r="H11" t="s">
        <v>43</v>
      </c>
    </row>
    <row r="12" spans="1:9" ht="29">
      <c r="A12" s="1"/>
      <c r="B12" s="1"/>
      <c r="C12" s="1"/>
      <c r="E12" s="29" t="s">
        <v>42</v>
      </c>
      <c r="F12" s="1">
        <f>SQRT(F11)</f>
        <v>1.6329931618554521</v>
      </c>
      <c r="G12" s="1">
        <f>SQRT(G11)</f>
        <v>1.6329931618554521</v>
      </c>
      <c r="H12" t="s">
        <v>44</v>
      </c>
    </row>
    <row r="13" spans="1:9">
      <c r="A13" s="1" t="s">
        <v>1</v>
      </c>
      <c r="B13" s="1">
        <f>9/B10</f>
        <v>3</v>
      </c>
      <c r="C13" s="1">
        <f>12/C10</f>
        <v>4</v>
      </c>
      <c r="G13" s="4"/>
      <c r="H13" t="s">
        <v>45</v>
      </c>
    </row>
    <row r="14" spans="1:9">
      <c r="H14" t="s">
        <v>46</v>
      </c>
    </row>
  </sheetData>
  <mergeCells count="1">
    <mergeCell ref="B4:I4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>
      <selection activeCell="E22" sqref="E22"/>
    </sheetView>
  </sheetViews>
  <sheetFormatPr defaultRowHeight="14.5"/>
  <cols>
    <col min="1" max="1" width="14.6328125" bestFit="1" customWidth="1"/>
    <col min="3" max="3" width="10.1796875" bestFit="1" customWidth="1"/>
    <col min="6" max="7" width="15.6328125" bestFit="1" customWidth="1"/>
  </cols>
  <sheetData>
    <row r="1" spans="1:11" ht="28" thickBot="1">
      <c r="A1" s="91" t="s">
        <v>16</v>
      </c>
      <c r="B1" s="92"/>
      <c r="C1" s="92"/>
      <c r="D1" s="92"/>
      <c r="E1" s="92"/>
      <c r="F1" s="92"/>
      <c r="G1" s="92"/>
      <c r="H1" s="92"/>
      <c r="I1" s="93"/>
    </row>
    <row r="2" spans="1:11">
      <c r="A2" s="17"/>
      <c r="B2" s="18"/>
      <c r="C2" s="18"/>
      <c r="D2" s="18"/>
      <c r="E2" s="18"/>
      <c r="F2" s="18"/>
      <c r="G2" s="18"/>
      <c r="H2" s="18"/>
      <c r="I2" s="19"/>
      <c r="K2" t="s">
        <v>77</v>
      </c>
    </row>
    <row r="3" spans="1:11" ht="18">
      <c r="A3" s="20" t="s">
        <v>13</v>
      </c>
      <c r="B3" s="21" t="s">
        <v>0</v>
      </c>
      <c r="C3" s="22"/>
      <c r="D3" s="22"/>
      <c r="E3" s="22"/>
      <c r="F3" s="22"/>
      <c r="G3" s="22"/>
      <c r="H3" s="22"/>
      <c r="I3" s="23"/>
      <c r="K3" t="s">
        <v>78</v>
      </c>
    </row>
    <row r="4" spans="1:11" ht="15" thickBot="1">
      <c r="A4" s="20"/>
      <c r="B4" s="22"/>
      <c r="C4" s="22"/>
      <c r="D4" s="22"/>
      <c r="E4" s="22"/>
      <c r="F4" s="22"/>
      <c r="G4" s="22"/>
      <c r="H4" s="22"/>
      <c r="I4" s="23"/>
      <c r="K4" t="s">
        <v>79</v>
      </c>
    </row>
    <row r="5" spans="1:11" ht="15" thickBot="1">
      <c r="A5" s="20"/>
      <c r="B5" s="22"/>
      <c r="C5" s="22"/>
      <c r="D5" s="94" t="s">
        <v>16</v>
      </c>
      <c r="E5" s="99"/>
      <c r="F5" s="99"/>
      <c r="G5" s="95"/>
      <c r="H5" s="22"/>
      <c r="I5" s="23"/>
      <c r="K5" t="s">
        <v>80</v>
      </c>
    </row>
    <row r="6" spans="1:11" ht="15" thickBot="1">
      <c r="A6" s="20"/>
      <c r="B6" s="22"/>
      <c r="C6" s="22"/>
      <c r="D6" s="14" t="s">
        <v>2</v>
      </c>
      <c r="E6" s="14" t="s">
        <v>3</v>
      </c>
      <c r="F6" s="14" t="s">
        <v>75</v>
      </c>
      <c r="G6" s="15" t="s">
        <v>76</v>
      </c>
      <c r="H6" s="22"/>
      <c r="I6" s="23"/>
      <c r="K6" t="s">
        <v>43</v>
      </c>
    </row>
    <row r="7" spans="1:11">
      <c r="A7" s="20"/>
      <c r="B7" s="22"/>
      <c r="C7" s="22"/>
      <c r="D7" s="11">
        <v>1</v>
      </c>
      <c r="E7" s="12">
        <v>2</v>
      </c>
      <c r="F7" s="45">
        <f>(D7-$D$11)/$D$13</f>
        <v>0</v>
      </c>
      <c r="G7" s="13">
        <f>(E7-$E$11)/$E$13</f>
        <v>0</v>
      </c>
      <c r="H7" s="22"/>
      <c r="I7" s="23"/>
      <c r="K7" t="s">
        <v>81</v>
      </c>
    </row>
    <row r="8" spans="1:11">
      <c r="A8" s="20"/>
      <c r="B8" s="22"/>
      <c r="C8" s="22"/>
      <c r="D8" s="6">
        <v>3</v>
      </c>
      <c r="E8" s="1">
        <v>4</v>
      </c>
      <c r="F8" s="28">
        <f>(D8-$D$11)/$D$13</f>
        <v>0.5</v>
      </c>
      <c r="G8" s="7">
        <f>(E8-$E$11)/$E$13</f>
        <v>0.5</v>
      </c>
      <c r="H8" s="22"/>
      <c r="I8" s="23"/>
      <c r="K8" t="s">
        <v>82</v>
      </c>
    </row>
    <row r="9" spans="1:11" ht="15" thickBot="1">
      <c r="A9" s="20"/>
      <c r="B9" s="22"/>
      <c r="C9" s="22"/>
      <c r="D9" s="8">
        <v>5</v>
      </c>
      <c r="E9" s="9">
        <v>6</v>
      </c>
      <c r="F9" s="46">
        <f>(D9-$D$11)/$D$13</f>
        <v>1</v>
      </c>
      <c r="G9" s="10">
        <f>(E9-$E$11)/$E$13</f>
        <v>1</v>
      </c>
      <c r="H9" s="22"/>
      <c r="I9" s="23"/>
      <c r="K9" t="s">
        <v>83</v>
      </c>
    </row>
    <row r="10" spans="1:11">
      <c r="A10" s="20"/>
      <c r="B10" s="22"/>
      <c r="C10" s="22"/>
      <c r="D10" s="22"/>
      <c r="E10" s="22"/>
      <c r="F10" s="22"/>
      <c r="G10" s="22"/>
      <c r="H10" s="22"/>
      <c r="I10" s="23"/>
    </row>
    <row r="11" spans="1:11">
      <c r="A11" s="20"/>
      <c r="B11" s="22"/>
      <c r="C11" s="16" t="s">
        <v>14</v>
      </c>
      <c r="D11" s="1">
        <v>1</v>
      </c>
      <c r="E11" s="1">
        <v>2</v>
      </c>
      <c r="F11" s="22"/>
      <c r="G11" s="22"/>
      <c r="H11" s="22"/>
      <c r="I11" s="23"/>
    </row>
    <row r="12" spans="1:11">
      <c r="A12" s="20"/>
      <c r="B12" s="22"/>
      <c r="C12" s="16" t="s">
        <v>15</v>
      </c>
      <c r="D12" s="1">
        <v>5</v>
      </c>
      <c r="E12" s="1">
        <v>6</v>
      </c>
      <c r="F12" s="22"/>
      <c r="G12" s="22"/>
      <c r="H12" s="22"/>
      <c r="I12" s="23"/>
    </row>
    <row r="13" spans="1:11">
      <c r="A13" s="20"/>
      <c r="B13" s="22"/>
      <c r="C13" s="16" t="s">
        <v>17</v>
      </c>
      <c r="D13" s="1">
        <f>D12-D11</f>
        <v>4</v>
      </c>
      <c r="E13" s="1">
        <f>E12-E11</f>
        <v>4</v>
      </c>
      <c r="F13" s="22"/>
      <c r="G13" s="22"/>
      <c r="H13" s="22"/>
      <c r="I13" s="23"/>
    </row>
    <row r="14" spans="1:11">
      <c r="A14" s="20"/>
      <c r="B14" s="22"/>
      <c r="C14" s="22"/>
      <c r="D14" s="22"/>
      <c r="E14" s="22"/>
      <c r="F14" s="22"/>
      <c r="G14" s="22"/>
      <c r="H14" s="22"/>
      <c r="I14" s="23"/>
    </row>
    <row r="15" spans="1:11">
      <c r="A15" s="20"/>
      <c r="B15" s="22"/>
      <c r="C15" s="22"/>
      <c r="D15" s="22"/>
      <c r="E15" s="22"/>
      <c r="F15" s="22"/>
      <c r="G15" s="22"/>
      <c r="H15" s="22"/>
      <c r="I15" s="23"/>
    </row>
    <row r="16" spans="1:11">
      <c r="A16" s="20"/>
      <c r="B16" s="22"/>
      <c r="C16" s="22"/>
      <c r="D16" s="22"/>
      <c r="E16" s="22"/>
      <c r="F16" s="22"/>
      <c r="G16" s="22"/>
      <c r="H16" s="22"/>
      <c r="I16" s="23"/>
    </row>
    <row r="17" spans="1:9">
      <c r="A17" s="20"/>
      <c r="B17" s="22"/>
      <c r="C17" s="22"/>
      <c r="D17" s="22"/>
      <c r="E17" s="22"/>
      <c r="F17" s="22"/>
      <c r="G17" s="22"/>
      <c r="H17" s="22"/>
      <c r="I17" s="23"/>
    </row>
    <row r="18" spans="1:9">
      <c r="A18" s="20"/>
      <c r="B18" s="22"/>
      <c r="C18" s="22"/>
      <c r="D18" s="22"/>
      <c r="E18" s="22"/>
      <c r="F18" s="22"/>
      <c r="G18" s="22"/>
      <c r="H18" s="22"/>
      <c r="I18" s="23"/>
    </row>
    <row r="19" spans="1:9" ht="15" thickBot="1">
      <c r="A19" s="24"/>
      <c r="B19" s="25"/>
      <c r="C19" s="25"/>
      <c r="D19" s="25"/>
      <c r="E19" s="25"/>
      <c r="F19" s="25"/>
      <c r="G19" s="25"/>
      <c r="H19" s="25"/>
      <c r="I19" s="26"/>
    </row>
  </sheetData>
  <mergeCells count="2">
    <mergeCell ref="D5:G5"/>
    <mergeCell ref="A1:I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>
      <selection activeCell="G16" sqref="G16"/>
    </sheetView>
  </sheetViews>
  <sheetFormatPr defaultRowHeight="14.5"/>
  <cols>
    <col min="3" max="3" width="13.54296875" bestFit="1" customWidth="1"/>
    <col min="6" max="7" width="13.1796875" bestFit="1" customWidth="1"/>
  </cols>
  <sheetData>
    <row r="1" spans="1:11" ht="28" thickBot="1">
      <c r="A1" s="91" t="s">
        <v>19</v>
      </c>
      <c r="B1" s="92"/>
      <c r="C1" s="92"/>
      <c r="D1" s="92"/>
      <c r="E1" s="92"/>
      <c r="F1" s="92"/>
      <c r="G1" s="92"/>
      <c r="H1" s="92"/>
      <c r="I1" s="93"/>
    </row>
    <row r="2" spans="1:11">
      <c r="A2" s="17"/>
      <c r="B2" s="18"/>
      <c r="C2" s="18"/>
      <c r="D2" s="18"/>
      <c r="E2" s="18"/>
      <c r="F2" s="18"/>
      <c r="G2" s="18"/>
      <c r="H2" s="18"/>
      <c r="I2" s="19"/>
    </row>
    <row r="3" spans="1:11" ht="18">
      <c r="A3" s="20" t="s">
        <v>13</v>
      </c>
      <c r="B3" s="21" t="s">
        <v>0</v>
      </c>
      <c r="C3" s="22"/>
      <c r="D3" s="22"/>
      <c r="E3" s="22"/>
      <c r="F3" s="22"/>
      <c r="G3" s="22"/>
      <c r="H3" s="22"/>
      <c r="I3" s="23"/>
    </row>
    <row r="4" spans="1:11" ht="15" thickBot="1">
      <c r="A4" s="20"/>
      <c r="B4" s="22"/>
      <c r="C4" s="22"/>
      <c r="D4" s="22"/>
      <c r="E4" s="22"/>
      <c r="F4" s="22"/>
      <c r="G4" s="22"/>
      <c r="H4" s="22"/>
      <c r="I4" s="23"/>
    </row>
    <row r="5" spans="1:11" ht="15" thickBot="1">
      <c r="A5" s="20"/>
      <c r="B5" s="22"/>
      <c r="C5" s="22"/>
      <c r="D5" s="94" t="s">
        <v>19</v>
      </c>
      <c r="E5" s="99"/>
      <c r="F5" s="99"/>
      <c r="G5" s="95"/>
      <c r="H5" s="22"/>
      <c r="I5" s="23"/>
      <c r="K5" t="s">
        <v>77</v>
      </c>
    </row>
    <row r="6" spans="1:11" ht="15" thickBot="1">
      <c r="A6" s="20"/>
      <c r="B6" s="22"/>
      <c r="C6" s="22"/>
      <c r="D6" s="14" t="s">
        <v>2</v>
      </c>
      <c r="E6" s="14" t="s">
        <v>3</v>
      </c>
      <c r="F6" s="14" t="s">
        <v>23</v>
      </c>
      <c r="G6" s="15" t="s">
        <v>24</v>
      </c>
      <c r="H6" s="22"/>
      <c r="I6" s="23"/>
      <c r="K6" t="s">
        <v>78</v>
      </c>
    </row>
    <row r="7" spans="1:11">
      <c r="A7" s="20"/>
      <c r="B7" s="22"/>
      <c r="C7" s="22"/>
      <c r="D7" s="32">
        <v>1</v>
      </c>
      <c r="E7" s="33">
        <v>2</v>
      </c>
      <c r="F7" s="33">
        <f>(D7-$D$11)/$D$14</f>
        <v>-1</v>
      </c>
      <c r="G7" s="34">
        <f>(E7-$E$11)/$E$14</f>
        <v>-1</v>
      </c>
      <c r="H7" s="22"/>
      <c r="I7" s="23"/>
      <c r="K7" t="s">
        <v>79</v>
      </c>
    </row>
    <row r="8" spans="1:11">
      <c r="A8" s="20"/>
      <c r="B8" s="22"/>
      <c r="C8" s="22"/>
      <c r="D8" s="6">
        <v>3</v>
      </c>
      <c r="E8" s="1">
        <v>4</v>
      </c>
      <c r="F8" s="12">
        <f>(D8-$D$11)/$D$14</f>
        <v>0</v>
      </c>
      <c r="G8" s="13">
        <f>(E8-$E$11)/$E$14</f>
        <v>0</v>
      </c>
      <c r="H8" s="22"/>
      <c r="I8" s="23"/>
      <c r="K8" t="s">
        <v>80</v>
      </c>
    </row>
    <row r="9" spans="1:11" ht="15" thickBot="1">
      <c r="A9" s="20"/>
      <c r="B9" s="22"/>
      <c r="C9" s="22"/>
      <c r="D9" s="8">
        <v>5</v>
      </c>
      <c r="E9" s="9">
        <v>6</v>
      </c>
      <c r="F9" s="35">
        <f>(D9-$D$11)/$D$14</f>
        <v>1</v>
      </c>
      <c r="G9" s="36">
        <f>(E9-$E$11)/$E$14</f>
        <v>1</v>
      </c>
      <c r="H9" s="22"/>
      <c r="I9" s="23"/>
      <c r="K9" t="s">
        <v>43</v>
      </c>
    </row>
    <row r="10" spans="1:11">
      <c r="A10" s="20"/>
      <c r="B10" s="22"/>
      <c r="C10" s="22"/>
      <c r="D10" s="22"/>
      <c r="E10" s="22"/>
      <c r="F10" s="22"/>
      <c r="G10" s="22"/>
      <c r="H10" s="22"/>
      <c r="I10" s="23"/>
      <c r="K10" t="s">
        <v>85</v>
      </c>
    </row>
    <row r="11" spans="1:11">
      <c r="A11" s="47" t="s">
        <v>84</v>
      </c>
      <c r="B11" s="22"/>
      <c r="C11" s="16" t="s">
        <v>18</v>
      </c>
      <c r="D11" s="1">
        <v>3</v>
      </c>
      <c r="E11" s="1">
        <v>4</v>
      </c>
      <c r="F11" s="22"/>
      <c r="G11" s="22"/>
      <c r="H11" s="22"/>
      <c r="I11" s="23"/>
      <c r="K11" t="s">
        <v>86</v>
      </c>
    </row>
    <row r="12" spans="1:11">
      <c r="A12" s="20"/>
      <c r="B12" s="22"/>
      <c r="C12" s="16" t="s">
        <v>20</v>
      </c>
      <c r="D12" s="1">
        <v>2</v>
      </c>
      <c r="E12" s="1">
        <v>3</v>
      </c>
      <c r="F12" s="22"/>
      <c r="G12" s="22"/>
      <c r="H12" s="22"/>
      <c r="I12" s="23"/>
      <c r="K12" t="s">
        <v>87</v>
      </c>
    </row>
    <row r="13" spans="1:11">
      <c r="A13" s="20"/>
      <c r="B13" s="22"/>
      <c r="C13" s="16" t="s">
        <v>21</v>
      </c>
      <c r="D13" s="1">
        <v>4</v>
      </c>
      <c r="E13" s="1">
        <v>5</v>
      </c>
      <c r="F13" s="22"/>
      <c r="G13" s="22"/>
      <c r="H13" s="22"/>
      <c r="I13" s="23"/>
    </row>
    <row r="14" spans="1:11">
      <c r="A14" s="20"/>
      <c r="B14" s="22"/>
      <c r="C14" s="16" t="s">
        <v>22</v>
      </c>
      <c r="D14" s="1">
        <f>D13-D12</f>
        <v>2</v>
      </c>
      <c r="E14" s="1">
        <f>E13-E12</f>
        <v>2</v>
      </c>
      <c r="F14" s="22"/>
      <c r="G14" s="22"/>
      <c r="H14" s="22"/>
      <c r="I14" s="23"/>
    </row>
    <row r="15" spans="1:11">
      <c r="A15" s="20"/>
      <c r="B15" s="22"/>
      <c r="C15" s="22"/>
      <c r="D15" s="22"/>
      <c r="E15" s="22"/>
      <c r="F15" s="22"/>
      <c r="G15" s="22"/>
      <c r="H15" s="22"/>
      <c r="I15" s="23"/>
    </row>
    <row r="16" spans="1:11">
      <c r="A16" s="20"/>
      <c r="B16" s="22"/>
      <c r="C16" s="22"/>
      <c r="D16" s="22"/>
      <c r="E16" s="22"/>
      <c r="F16" s="22"/>
      <c r="G16" s="22"/>
      <c r="H16" s="22"/>
      <c r="I16" s="23"/>
    </row>
    <row r="17" spans="1:9">
      <c r="A17" s="20"/>
      <c r="B17" s="22"/>
      <c r="C17" s="22"/>
      <c r="D17" s="22"/>
      <c r="E17" s="22"/>
      <c r="F17" s="22"/>
      <c r="G17" s="22"/>
      <c r="H17" s="22"/>
      <c r="I17" s="23"/>
    </row>
    <row r="18" spans="1:9">
      <c r="A18" s="20"/>
      <c r="B18" s="22"/>
      <c r="C18" s="22"/>
      <c r="D18" s="22"/>
      <c r="E18" s="22"/>
      <c r="F18" s="22"/>
      <c r="G18" s="22"/>
      <c r="H18" s="22"/>
      <c r="I18" s="23"/>
    </row>
    <row r="19" spans="1:9">
      <c r="A19" s="20"/>
      <c r="B19" s="22"/>
      <c r="C19" s="22"/>
      <c r="D19" s="22"/>
      <c r="E19" s="22"/>
      <c r="F19" s="22"/>
      <c r="G19" s="22"/>
      <c r="H19" s="22"/>
      <c r="I19" s="23"/>
    </row>
    <row r="20" spans="1:9" ht="15" thickBot="1">
      <c r="A20" s="24"/>
      <c r="B20" s="25"/>
      <c r="C20" s="25"/>
      <c r="D20" s="25"/>
      <c r="E20" s="25"/>
      <c r="F20" s="25"/>
      <c r="G20" s="25"/>
      <c r="H20" s="25"/>
      <c r="I20" s="26"/>
    </row>
  </sheetData>
  <mergeCells count="2">
    <mergeCell ref="A1:I1"/>
    <mergeCell ref="D5:G5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5"/>
  <sheetViews>
    <sheetView workbookViewId="0">
      <selection activeCell="F3" sqref="F3:F4"/>
    </sheetView>
  </sheetViews>
  <sheetFormatPr defaultRowHeight="14.5"/>
  <cols>
    <col min="2" max="2" width="13.36328125" bestFit="1" customWidth="1"/>
    <col min="3" max="3" width="13.54296875" bestFit="1" customWidth="1"/>
    <col min="4" max="4" width="13" bestFit="1" customWidth="1"/>
    <col min="5" max="5" width="15.453125" bestFit="1" customWidth="1"/>
    <col min="6" max="6" width="17.453125" bestFit="1" customWidth="1"/>
    <col min="7" max="7" width="12.26953125" bestFit="1" customWidth="1"/>
  </cols>
  <sheetData>
    <row r="2" spans="2:7">
      <c r="B2" s="16" t="s">
        <v>31</v>
      </c>
      <c r="C2" s="16" t="s">
        <v>29</v>
      </c>
      <c r="D2" s="16" t="s">
        <v>30</v>
      </c>
      <c r="E2" s="16" t="s">
        <v>32</v>
      </c>
      <c r="F2" s="16" t="s">
        <v>33</v>
      </c>
      <c r="G2" s="16" t="s">
        <v>34</v>
      </c>
    </row>
    <row r="3" spans="2:7">
      <c r="B3" s="16" t="s">
        <v>37</v>
      </c>
      <c r="C3" s="1" t="s">
        <v>27</v>
      </c>
      <c r="D3" s="1" t="s">
        <v>28</v>
      </c>
      <c r="E3" s="1" t="s">
        <v>28</v>
      </c>
      <c r="F3" s="1" t="s">
        <v>27</v>
      </c>
      <c r="G3" s="1" t="s">
        <v>35</v>
      </c>
    </row>
    <row r="4" spans="2:7">
      <c r="B4" s="16" t="s">
        <v>25</v>
      </c>
      <c r="C4" s="1" t="s">
        <v>28</v>
      </c>
      <c r="D4" s="1" t="s">
        <v>27</v>
      </c>
      <c r="E4" s="1" t="s">
        <v>28</v>
      </c>
      <c r="F4" s="1" t="s">
        <v>27</v>
      </c>
      <c r="G4" s="1" t="s">
        <v>36</v>
      </c>
    </row>
    <row r="5" spans="2:7">
      <c r="B5" s="16" t="s">
        <v>26</v>
      </c>
      <c r="C5" s="1" t="s">
        <v>28</v>
      </c>
      <c r="D5" s="1" t="s">
        <v>28</v>
      </c>
      <c r="E5" s="1" t="s">
        <v>27</v>
      </c>
      <c r="F5" s="1" t="s">
        <v>28</v>
      </c>
      <c r="G5" s="1" t="s">
        <v>35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O18" sqref="O18"/>
    </sheetView>
  </sheetViews>
  <sheetFormatPr defaultRowHeight="14.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0"/>
  <sheetViews>
    <sheetView topLeftCell="A10" workbookViewId="0">
      <selection activeCell="E30" sqref="E30"/>
    </sheetView>
  </sheetViews>
  <sheetFormatPr defaultRowHeight="14.5"/>
  <cols>
    <col min="5" max="5" width="17.90625" bestFit="1" customWidth="1"/>
    <col min="6" max="6" width="12.90625" bestFit="1" customWidth="1"/>
  </cols>
  <sheetData>
    <row r="1" spans="2:7">
      <c r="B1" s="49" t="s">
        <v>47</v>
      </c>
      <c r="C1" s="49" t="s">
        <v>48</v>
      </c>
      <c r="D1" s="50" t="s">
        <v>50</v>
      </c>
      <c r="E1" s="50" t="s">
        <v>51</v>
      </c>
      <c r="F1" s="49" t="s">
        <v>53</v>
      </c>
      <c r="G1" s="49" t="s">
        <v>55</v>
      </c>
    </row>
    <row r="2" spans="2:7">
      <c r="B2" s="1">
        <v>1</v>
      </c>
      <c r="C2" s="1">
        <v>2</v>
      </c>
      <c r="D2" s="1">
        <f>B2-$C$10</f>
        <v>-2</v>
      </c>
      <c r="E2" s="1">
        <f>C2-$C$11</f>
        <v>-2</v>
      </c>
      <c r="F2" s="1">
        <f>D2*E2</f>
        <v>4</v>
      </c>
      <c r="G2" s="1">
        <f>D2^2</f>
        <v>4</v>
      </c>
    </row>
    <row r="3" spans="2:7">
      <c r="B3" s="1">
        <v>2</v>
      </c>
      <c r="C3" s="1">
        <v>4</v>
      </c>
      <c r="D3" s="1">
        <f>B3-$C$10</f>
        <v>-1</v>
      </c>
      <c r="E3" s="1">
        <f>C3-$C$11</f>
        <v>0</v>
      </c>
      <c r="F3" s="1">
        <f>D3*E3</f>
        <v>0</v>
      </c>
      <c r="G3" s="1">
        <f>D3^2</f>
        <v>1</v>
      </c>
    </row>
    <row r="4" spans="2:7">
      <c r="B4" s="1">
        <v>3</v>
      </c>
      <c r="C4" s="1">
        <v>5</v>
      </c>
      <c r="D4" s="1">
        <f>B4-$C$10</f>
        <v>0</v>
      </c>
      <c r="E4" s="1">
        <f>C4-$C$11</f>
        <v>1</v>
      </c>
      <c r="F4" s="1">
        <f>D4*E4</f>
        <v>0</v>
      </c>
      <c r="G4" s="1">
        <f>D4^2</f>
        <v>0</v>
      </c>
    </row>
    <row r="5" spans="2:7">
      <c r="B5" s="1">
        <v>4</v>
      </c>
      <c r="C5" s="1">
        <v>4</v>
      </c>
      <c r="D5" s="1">
        <f>B5-$C$10</f>
        <v>1</v>
      </c>
      <c r="E5" s="1">
        <f>C5-$C$11</f>
        <v>0</v>
      </c>
      <c r="F5" s="1">
        <f>D5*E5</f>
        <v>0</v>
      </c>
      <c r="G5" s="1">
        <f>D5^2</f>
        <v>1</v>
      </c>
    </row>
    <row r="6" spans="2:7">
      <c r="B6" s="1">
        <v>5</v>
      </c>
      <c r="C6" s="1">
        <v>5</v>
      </c>
      <c r="D6" s="1">
        <f>B6-$C$10</f>
        <v>2</v>
      </c>
      <c r="E6" s="1">
        <f>C6-$C$11</f>
        <v>1</v>
      </c>
      <c r="F6" s="1">
        <f>D6*E6</f>
        <v>2</v>
      </c>
      <c r="G6" s="1">
        <f>D6^2</f>
        <v>4</v>
      </c>
    </row>
    <row r="7" spans="2:7">
      <c r="F7">
        <f>SUM(F2:F6)</f>
        <v>6</v>
      </c>
      <c r="G7">
        <f>SUM(G2:G6)</f>
        <v>10</v>
      </c>
    </row>
    <row r="9" spans="2:7">
      <c r="B9" s="39" t="s">
        <v>49</v>
      </c>
    </row>
    <row r="10" spans="2:7">
      <c r="B10" t="str">
        <f>"X"&amp;_xlfn.UNICHAR(773)</f>
        <v>X̅</v>
      </c>
      <c r="C10">
        <f>AVERAGE(B2:B6)</f>
        <v>3</v>
      </c>
      <c r="E10" t="s">
        <v>54</v>
      </c>
      <c r="F10">
        <f>F7</f>
        <v>6</v>
      </c>
    </row>
    <row r="11" spans="2:7">
      <c r="B11" t="str">
        <f>"Y"&amp;_xlfn.UNICHAR(773)</f>
        <v>Y̅</v>
      </c>
      <c r="C11">
        <f>AVERAGE(C2:C6)</f>
        <v>4</v>
      </c>
      <c r="D11" s="40" t="s">
        <v>52</v>
      </c>
      <c r="E11" t="s">
        <v>56</v>
      </c>
      <c r="F11">
        <f>G7</f>
        <v>10</v>
      </c>
    </row>
    <row r="15" spans="2:7">
      <c r="F15" t="s">
        <v>57</v>
      </c>
    </row>
    <row r="16" spans="2:7">
      <c r="E16" t="s">
        <v>58</v>
      </c>
      <c r="F16" t="s">
        <v>58</v>
      </c>
      <c r="G16" s="106">
        <v>0.6</v>
      </c>
    </row>
    <row r="19" spans="3:9">
      <c r="F19" t="s">
        <v>59</v>
      </c>
    </row>
    <row r="20" spans="3:9">
      <c r="F20" t="s">
        <v>60</v>
      </c>
      <c r="G20">
        <f>C11-G16*C10</f>
        <v>2.2000000000000002</v>
      </c>
    </row>
    <row r="22" spans="3:9">
      <c r="C22" t="s">
        <v>61</v>
      </c>
      <c r="E22" t="s">
        <v>62</v>
      </c>
      <c r="F22" t="s">
        <v>209</v>
      </c>
    </row>
    <row r="23" spans="3:9">
      <c r="E23" s="41" t="s">
        <v>63</v>
      </c>
      <c r="F23" t="s">
        <v>210</v>
      </c>
      <c r="I23">
        <f>0.6*15+2.2</f>
        <v>11.2</v>
      </c>
    </row>
    <row r="25" spans="3:9">
      <c r="C25">
        <v>1</v>
      </c>
      <c r="D25">
        <f t="shared" ref="D25:D30" si="0">0.6*C25+2.2</f>
        <v>2.8000000000000003</v>
      </c>
    </row>
    <row r="26" spans="3:9">
      <c r="C26">
        <v>2</v>
      </c>
      <c r="D26">
        <f t="shared" si="0"/>
        <v>3.4000000000000004</v>
      </c>
    </row>
    <row r="27" spans="3:9">
      <c r="C27">
        <v>3</v>
      </c>
      <c r="D27">
        <f t="shared" si="0"/>
        <v>4</v>
      </c>
    </row>
    <row r="28" spans="3:9">
      <c r="C28">
        <v>4</v>
      </c>
      <c r="D28">
        <f t="shared" si="0"/>
        <v>4.5999999999999996</v>
      </c>
    </row>
    <row r="29" spans="3:9">
      <c r="C29">
        <v>5</v>
      </c>
      <c r="D29">
        <f t="shared" si="0"/>
        <v>5.2</v>
      </c>
    </row>
    <row r="30" spans="3:9">
      <c r="C30">
        <v>6</v>
      </c>
      <c r="D30">
        <f t="shared" si="0"/>
        <v>5.8</v>
      </c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Views>
    <sheetView workbookViewId="0">
      <selection activeCell="C23" sqref="C23"/>
    </sheetView>
  </sheetViews>
  <sheetFormatPr defaultRowHeight="14.5"/>
  <sheetData>
    <row r="1" spans="1:1" ht="17.5">
      <c r="A1" s="42" t="s">
        <v>64</v>
      </c>
    </row>
    <row r="3" spans="1:1">
      <c r="A3" t="s">
        <v>65</v>
      </c>
    </row>
    <row r="4" spans="1:1">
      <c r="A4" s="43"/>
    </row>
    <row r="5" spans="1:1">
      <c r="A5" s="43" t="s">
        <v>66</v>
      </c>
    </row>
    <row r="6" spans="1:1">
      <c r="A6" s="43" t="s">
        <v>67</v>
      </c>
    </row>
    <row r="10" spans="1:1" ht="17.5">
      <c r="A10" s="42" t="s">
        <v>68</v>
      </c>
    </row>
    <row r="12" spans="1:1">
      <c r="A12" t="s">
        <v>69</v>
      </c>
    </row>
    <row r="13" spans="1:1">
      <c r="A13" s="43"/>
    </row>
    <row r="14" spans="1:1">
      <c r="A14" s="43" t="s">
        <v>70</v>
      </c>
    </row>
    <row r="15" spans="1:1">
      <c r="A15" s="43" t="s">
        <v>71</v>
      </c>
    </row>
    <row r="16" spans="1:1">
      <c r="A16" s="44" t="s">
        <v>72</v>
      </c>
    </row>
    <row r="17" spans="1:1">
      <c r="A17" s="44" t="s">
        <v>73</v>
      </c>
    </row>
    <row r="18" spans="1:1">
      <c r="A18" s="44" t="s">
        <v>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I13" sqref="I13"/>
    </sheetView>
  </sheetViews>
  <sheetFormatPr defaultRowHeight="14.5"/>
  <cols>
    <col min="1" max="1" width="10.7265625" customWidth="1"/>
    <col min="3" max="3" width="11.26953125" bestFit="1" customWidth="1"/>
    <col min="4" max="4" width="9.36328125" bestFit="1" customWidth="1"/>
    <col min="5" max="5" width="12.453125" style="52" bestFit="1" customWidth="1"/>
    <col min="6" max="6" width="11.7265625" bestFit="1" customWidth="1"/>
    <col min="7" max="7" width="13.7265625" bestFit="1" customWidth="1"/>
    <col min="9" max="9" width="10.90625" style="52" bestFit="1" customWidth="1"/>
  </cols>
  <sheetData>
    <row r="1" spans="1:9">
      <c r="A1" s="100" t="s">
        <v>92</v>
      </c>
      <c r="B1" s="100"/>
      <c r="C1" s="100"/>
      <c r="D1" s="100"/>
      <c r="E1" s="100"/>
      <c r="F1" s="100" t="s">
        <v>99</v>
      </c>
      <c r="G1" s="100"/>
      <c r="H1" s="100"/>
      <c r="I1" s="100"/>
    </row>
    <row r="2" spans="1:9">
      <c r="A2" s="1" t="s">
        <v>47</v>
      </c>
      <c r="B2" s="1" t="s">
        <v>88</v>
      </c>
      <c r="C2" s="1" t="s">
        <v>89</v>
      </c>
      <c r="D2" s="1" t="s">
        <v>90</v>
      </c>
      <c r="E2" s="49" t="s">
        <v>91</v>
      </c>
      <c r="F2" s="28" t="s">
        <v>95</v>
      </c>
      <c r="G2" s="28" t="s">
        <v>98</v>
      </c>
      <c r="H2" s="28" t="s">
        <v>96</v>
      </c>
      <c r="I2" s="49" t="s">
        <v>97</v>
      </c>
    </row>
    <row r="3" spans="1:9">
      <c r="A3" s="1">
        <v>1</v>
      </c>
      <c r="B3" s="1">
        <f t="shared" ref="B3:B8" si="0">0.6*A3+2.2</f>
        <v>2.8000000000000003</v>
      </c>
      <c r="C3" s="1">
        <v>3</v>
      </c>
      <c r="D3" s="1">
        <f t="shared" ref="D3:D8" si="1">B3-C3</f>
        <v>-0.19999999999999973</v>
      </c>
      <c r="E3" s="49">
        <f t="shared" ref="E3:E8" si="2">D3*D3</f>
        <v>3.9999999999999897E-2</v>
      </c>
      <c r="F3" s="1">
        <f>B3-B9</f>
        <v>-1.4999999999999996</v>
      </c>
      <c r="G3" s="1">
        <f t="shared" ref="G3:G8" si="3">F3*F3</f>
        <v>2.2499999999999987</v>
      </c>
      <c r="H3" s="1">
        <f t="shared" ref="H3:H8" si="4">B3-C3</f>
        <v>-0.19999999999999973</v>
      </c>
      <c r="I3" s="49">
        <f t="shared" ref="I3:I8" si="5">H3*H3</f>
        <v>3.9999999999999897E-2</v>
      </c>
    </row>
    <row r="4" spans="1:9">
      <c r="A4" s="1">
        <v>2</v>
      </c>
      <c r="B4" s="1">
        <f t="shared" si="0"/>
        <v>3.4000000000000004</v>
      </c>
      <c r="C4" s="1">
        <v>3.6</v>
      </c>
      <c r="D4" s="1">
        <f t="shared" si="1"/>
        <v>-0.19999999999999973</v>
      </c>
      <c r="E4" s="49">
        <f t="shared" si="2"/>
        <v>3.9999999999999897E-2</v>
      </c>
      <c r="F4" s="1">
        <f>B4-$B$9</f>
        <v>-0.89999999999999947</v>
      </c>
      <c r="G4" s="1">
        <f t="shared" si="3"/>
        <v>0.80999999999999905</v>
      </c>
      <c r="H4" s="1">
        <f t="shared" si="4"/>
        <v>-0.19999999999999973</v>
      </c>
      <c r="I4" s="49">
        <f t="shared" si="5"/>
        <v>3.9999999999999897E-2</v>
      </c>
    </row>
    <row r="5" spans="1:9">
      <c r="A5" s="1">
        <v>3</v>
      </c>
      <c r="B5" s="1">
        <f t="shared" si="0"/>
        <v>4</v>
      </c>
      <c r="C5" s="1">
        <v>4.2</v>
      </c>
      <c r="D5" s="1">
        <f t="shared" si="1"/>
        <v>-0.20000000000000018</v>
      </c>
      <c r="E5" s="49">
        <f t="shared" si="2"/>
        <v>4.000000000000007E-2</v>
      </c>
      <c r="F5" s="1">
        <f>B5-$B$9</f>
        <v>-0.29999999999999982</v>
      </c>
      <c r="G5" s="1">
        <f t="shared" si="3"/>
        <v>8.99999999999999E-2</v>
      </c>
      <c r="H5" s="1">
        <f t="shared" si="4"/>
        <v>-0.20000000000000018</v>
      </c>
      <c r="I5" s="49">
        <f t="shared" si="5"/>
        <v>4.000000000000007E-2</v>
      </c>
    </row>
    <row r="6" spans="1:9">
      <c r="A6" s="1">
        <v>4</v>
      </c>
      <c r="B6" s="1">
        <f t="shared" si="0"/>
        <v>4.5999999999999996</v>
      </c>
      <c r="C6" s="1">
        <v>4.5</v>
      </c>
      <c r="D6" s="1">
        <f t="shared" si="1"/>
        <v>9.9999999999999645E-2</v>
      </c>
      <c r="E6" s="49">
        <f t="shared" si="2"/>
        <v>9.9999999999999291E-3</v>
      </c>
      <c r="F6" s="1">
        <f>B6-$B$9</f>
        <v>0.29999999999999982</v>
      </c>
      <c r="G6" s="1">
        <f t="shared" si="3"/>
        <v>8.99999999999999E-2</v>
      </c>
      <c r="H6" s="1">
        <f t="shared" si="4"/>
        <v>9.9999999999999645E-2</v>
      </c>
      <c r="I6" s="49">
        <f t="shared" si="5"/>
        <v>9.9999999999999291E-3</v>
      </c>
    </row>
    <row r="7" spans="1:9">
      <c r="A7" s="1">
        <v>5</v>
      </c>
      <c r="B7" s="1">
        <f t="shared" si="0"/>
        <v>5.2</v>
      </c>
      <c r="C7" s="1">
        <v>5.6</v>
      </c>
      <c r="D7" s="1">
        <f t="shared" si="1"/>
        <v>-0.39999999999999947</v>
      </c>
      <c r="E7" s="49">
        <f t="shared" si="2"/>
        <v>0.15999999999999959</v>
      </c>
      <c r="F7" s="1">
        <f>B7-$B$9</f>
        <v>0.90000000000000036</v>
      </c>
      <c r="G7" s="1">
        <f t="shared" si="3"/>
        <v>0.81000000000000061</v>
      </c>
      <c r="H7" s="1">
        <f t="shared" si="4"/>
        <v>-0.39999999999999947</v>
      </c>
      <c r="I7" s="49">
        <f t="shared" si="5"/>
        <v>0.15999999999999959</v>
      </c>
    </row>
    <row r="8" spans="1:9">
      <c r="A8" s="1">
        <v>6</v>
      </c>
      <c r="B8" s="1">
        <f t="shared" si="0"/>
        <v>5.8</v>
      </c>
      <c r="C8" s="1">
        <v>5.0999999999999996</v>
      </c>
      <c r="D8" s="1">
        <f t="shared" si="1"/>
        <v>0.70000000000000018</v>
      </c>
      <c r="E8" s="49">
        <f t="shared" si="2"/>
        <v>0.49000000000000027</v>
      </c>
      <c r="F8" s="1">
        <f>B8-$B$9</f>
        <v>1.5</v>
      </c>
      <c r="G8" s="1">
        <f t="shared" si="3"/>
        <v>2.25</v>
      </c>
      <c r="H8" s="1">
        <f t="shared" si="4"/>
        <v>0.70000000000000018</v>
      </c>
      <c r="I8" s="49">
        <f t="shared" si="5"/>
        <v>0.49000000000000027</v>
      </c>
    </row>
    <row r="9" spans="1:9">
      <c r="B9" s="28">
        <f>AVERAGE(B3:B8)</f>
        <v>4.3</v>
      </c>
      <c r="E9" s="51">
        <f>SUM(E3:E8)</f>
        <v>0.77999999999999958</v>
      </c>
      <c r="F9" s="1">
        <f>SUM(F3:F8)</f>
        <v>0</v>
      </c>
      <c r="G9" s="1">
        <f>SUM(G3:G8)</f>
        <v>6.299999999999998</v>
      </c>
      <c r="H9" s="1">
        <f>SUM(H3:H8)</f>
        <v>-0.19999999999999929</v>
      </c>
      <c r="I9" s="49">
        <f>SUM(I3:I8)</f>
        <v>0.77999999999999958</v>
      </c>
    </row>
    <row r="11" spans="1:9">
      <c r="E11" s="52" t="s">
        <v>93</v>
      </c>
      <c r="F11" t="s">
        <v>94</v>
      </c>
      <c r="G11" s="48">
        <f>1-(0.78/G9)</f>
        <v>0.87619047619047619</v>
      </c>
    </row>
  </sheetData>
  <mergeCells count="2">
    <mergeCell ref="A1:E1"/>
    <mergeCell ref="F1:I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T98"/>
  <sheetViews>
    <sheetView topLeftCell="A85" workbookViewId="0">
      <selection activeCell="H101" sqref="H101"/>
    </sheetView>
  </sheetViews>
  <sheetFormatPr defaultRowHeight="14.5"/>
  <cols>
    <col min="1" max="1" width="13" customWidth="1"/>
    <col min="4" max="4" width="8.7265625" customWidth="1"/>
  </cols>
  <sheetData>
    <row r="10" spans="1:6" ht="72.5">
      <c r="A10" s="53" t="s">
        <v>100</v>
      </c>
      <c r="B10" s="53" t="s">
        <v>101</v>
      </c>
      <c r="C10" s="53" t="s">
        <v>102</v>
      </c>
      <c r="D10" s="53" t="s">
        <v>103</v>
      </c>
      <c r="F10" s="55" t="s">
        <v>104</v>
      </c>
    </row>
    <row r="11" spans="1:6">
      <c r="A11" s="71">
        <v>1</v>
      </c>
      <c r="B11" s="71">
        <v>1</v>
      </c>
      <c r="C11" s="71">
        <v>2</v>
      </c>
      <c r="D11" s="70">
        <v>6</v>
      </c>
    </row>
    <row r="12" spans="1:6">
      <c r="A12" s="71">
        <v>1</v>
      </c>
      <c r="B12" s="71">
        <v>2</v>
      </c>
      <c r="C12" s="71">
        <v>1</v>
      </c>
      <c r="D12" s="70">
        <v>8</v>
      </c>
    </row>
    <row r="13" spans="1:6">
      <c r="A13" s="71">
        <v>1</v>
      </c>
      <c r="B13" s="71">
        <v>3</v>
      </c>
      <c r="C13" s="71">
        <v>4</v>
      </c>
      <c r="D13" s="70">
        <v>14</v>
      </c>
    </row>
    <row r="16" spans="1:6">
      <c r="C16" s="59">
        <v>6</v>
      </c>
      <c r="D16" t="s">
        <v>140</v>
      </c>
    </row>
    <row r="17" spans="1:12">
      <c r="A17" t="s">
        <v>48</v>
      </c>
      <c r="B17" t="s">
        <v>105</v>
      </c>
      <c r="C17" s="59">
        <v>8</v>
      </c>
    </row>
    <row r="18" spans="1:12">
      <c r="C18" s="59">
        <v>14</v>
      </c>
    </row>
    <row r="19" spans="1:12">
      <c r="C19" s="60"/>
    </row>
    <row r="20" spans="1:12">
      <c r="A20" t="s">
        <v>106</v>
      </c>
      <c r="B20" t="s">
        <v>105</v>
      </c>
      <c r="C20" s="72">
        <v>1</v>
      </c>
      <c r="D20" s="72">
        <v>1</v>
      </c>
      <c r="E20" s="72">
        <v>2</v>
      </c>
      <c r="G20" t="s">
        <v>139</v>
      </c>
    </row>
    <row r="21" spans="1:12">
      <c r="C21" s="74">
        <v>1</v>
      </c>
      <c r="D21" s="74">
        <v>2</v>
      </c>
      <c r="E21" s="74">
        <v>1</v>
      </c>
    </row>
    <row r="22" spans="1:12">
      <c r="C22" s="75">
        <v>1</v>
      </c>
      <c r="D22" s="75">
        <v>3</v>
      </c>
      <c r="E22" s="75">
        <v>4</v>
      </c>
    </row>
    <row r="25" spans="1:12">
      <c r="A25" t="s">
        <v>107</v>
      </c>
      <c r="C25" s="72">
        <v>1</v>
      </c>
      <c r="D25" s="74">
        <v>1</v>
      </c>
      <c r="E25" s="75">
        <v>1</v>
      </c>
      <c r="F25" s="56">
        <v>1</v>
      </c>
      <c r="G25" s="56">
        <v>1</v>
      </c>
      <c r="H25" s="56">
        <v>2</v>
      </c>
      <c r="J25">
        <f>C25*F25+F26*C25+C25*F27</f>
        <v>3</v>
      </c>
      <c r="K25">
        <f>D25*G25+G26*D25+D25*G27</f>
        <v>6</v>
      </c>
      <c r="L25">
        <f>E25*H25+E25*H26+E25*H27</f>
        <v>7</v>
      </c>
    </row>
    <row r="26" spans="1:12">
      <c r="C26" s="72">
        <v>1</v>
      </c>
      <c r="D26" s="74">
        <v>2</v>
      </c>
      <c r="E26" s="75">
        <v>3</v>
      </c>
      <c r="F26" s="56">
        <v>1</v>
      </c>
      <c r="G26" s="56">
        <v>2</v>
      </c>
      <c r="H26" s="56">
        <v>1</v>
      </c>
      <c r="I26" s="58" t="s">
        <v>105</v>
      </c>
      <c r="J26">
        <f>C26*F25+D26*F26+E26*F27</f>
        <v>6</v>
      </c>
      <c r="K26">
        <f>C26*G25+D26*G26+E26*G27</f>
        <v>14</v>
      </c>
      <c r="L26">
        <f>C26*H25+D26*H26+E26*H27</f>
        <v>16</v>
      </c>
    </row>
    <row r="27" spans="1:12">
      <c r="C27" s="73">
        <v>2</v>
      </c>
      <c r="D27" s="74">
        <v>1</v>
      </c>
      <c r="E27" s="75">
        <v>4</v>
      </c>
      <c r="F27" s="56">
        <v>1</v>
      </c>
      <c r="G27" s="56">
        <v>3</v>
      </c>
      <c r="H27" s="56">
        <v>4</v>
      </c>
      <c r="J27">
        <f>C27*F25+D27*F26+E27*F27</f>
        <v>7</v>
      </c>
      <c r="K27">
        <f>C27*G25+D27*G26+E27*G27</f>
        <v>16</v>
      </c>
      <c r="L27">
        <f>C27*H25+D27*H26+E27*H27</f>
        <v>21</v>
      </c>
    </row>
    <row r="29" spans="1:12">
      <c r="A29" t="s">
        <v>108</v>
      </c>
    </row>
    <row r="30" spans="1:12">
      <c r="D30" t="s">
        <v>141</v>
      </c>
      <c r="F30" s="101" t="s">
        <v>48</v>
      </c>
      <c r="G30" s="101"/>
    </row>
    <row r="31" spans="1:12">
      <c r="J31" s="77" t="s">
        <v>142</v>
      </c>
      <c r="K31" s="77" t="s">
        <v>143</v>
      </c>
      <c r="L31" s="77" t="s">
        <v>143</v>
      </c>
    </row>
    <row r="32" spans="1:12">
      <c r="C32" s="61">
        <v>1</v>
      </c>
      <c r="D32" s="61">
        <v>1</v>
      </c>
      <c r="E32" s="61">
        <v>1</v>
      </c>
      <c r="F32" s="57">
        <v>6</v>
      </c>
      <c r="G32" s="59"/>
      <c r="H32">
        <f>C32*F32+D32*F33+E32*F34</f>
        <v>28</v>
      </c>
    </row>
    <row r="33" spans="1:8">
      <c r="C33" s="61">
        <v>1</v>
      </c>
      <c r="D33" s="61">
        <v>2</v>
      </c>
      <c r="E33" s="61">
        <v>3</v>
      </c>
      <c r="F33" s="57">
        <v>8</v>
      </c>
      <c r="G33" s="59" t="s">
        <v>105</v>
      </c>
      <c r="H33">
        <f>C33*F32+D33*F33+E33*F34</f>
        <v>64</v>
      </c>
    </row>
    <row r="34" spans="1:8">
      <c r="C34">
        <v>2</v>
      </c>
      <c r="D34" s="61">
        <v>1</v>
      </c>
      <c r="E34" s="61">
        <v>4</v>
      </c>
      <c r="F34" s="57">
        <v>14</v>
      </c>
      <c r="G34" s="59"/>
      <c r="H34">
        <f>C34*F32+D34*F33+E34*F34</f>
        <v>76</v>
      </c>
    </row>
    <row r="36" spans="1:8">
      <c r="A36" t="s">
        <v>109</v>
      </c>
    </row>
    <row r="37" spans="1:8">
      <c r="E37" s="79">
        <v>3</v>
      </c>
      <c r="F37" s="78">
        <v>6</v>
      </c>
      <c r="G37" s="78">
        <v>7</v>
      </c>
    </row>
    <row r="38" spans="1:8">
      <c r="D38" t="s">
        <v>111</v>
      </c>
      <c r="E38" s="79">
        <v>6</v>
      </c>
      <c r="F38" s="79">
        <v>14</v>
      </c>
      <c r="G38" s="79">
        <v>16</v>
      </c>
    </row>
    <row r="39" spans="1:8">
      <c r="E39" s="79">
        <v>7</v>
      </c>
      <c r="F39" s="78">
        <v>16</v>
      </c>
      <c r="G39" s="78">
        <v>21</v>
      </c>
    </row>
    <row r="41" spans="1:8" ht="17.5">
      <c r="A41" s="42" t="s">
        <v>110</v>
      </c>
    </row>
    <row r="43" spans="1:8">
      <c r="A43" t="s">
        <v>113</v>
      </c>
    </row>
    <row r="46" spans="1:8">
      <c r="C46" t="s">
        <v>112</v>
      </c>
      <c r="D46" t="s">
        <v>105</v>
      </c>
      <c r="E46">
        <f>(E37*((F38*G39)-(F39*G38)))-(F37*((E38*G39)-(G38*E39)))+(G37*((E38*F39)-(F38*E39)))</f>
        <v>16</v>
      </c>
    </row>
    <row r="49" spans="3:20">
      <c r="C49" t="s">
        <v>144</v>
      </c>
      <c r="D49" t="s">
        <v>115</v>
      </c>
      <c r="E49" t="s">
        <v>116</v>
      </c>
      <c r="F49" s="62">
        <v>14</v>
      </c>
      <c r="G49" s="62">
        <v>16</v>
      </c>
      <c r="H49">
        <f>(G50*F49)-(G49*F50)</f>
        <v>38</v>
      </c>
      <c r="J49" t="s">
        <v>118</v>
      </c>
      <c r="K49" t="s">
        <v>116</v>
      </c>
      <c r="L49" s="62">
        <v>6</v>
      </c>
      <c r="M49" s="62">
        <v>7</v>
      </c>
      <c r="N49">
        <f>(M50*L49)-(M49*L50)</f>
        <v>14</v>
      </c>
      <c r="P49" t="s">
        <v>124</v>
      </c>
      <c r="Q49" t="s">
        <v>116</v>
      </c>
      <c r="R49" s="62">
        <v>6</v>
      </c>
      <c r="S49" s="62">
        <v>7</v>
      </c>
      <c r="T49">
        <f>(S50*R49)-(S49*R50)</f>
        <v>-2</v>
      </c>
    </row>
    <row r="50" spans="3:20">
      <c r="F50" s="62">
        <v>16</v>
      </c>
      <c r="G50" s="62">
        <v>21</v>
      </c>
      <c r="L50" s="62">
        <v>16</v>
      </c>
      <c r="M50" s="62">
        <v>21</v>
      </c>
      <c r="R50" s="62">
        <v>14</v>
      </c>
      <c r="S50" s="62">
        <v>16</v>
      </c>
    </row>
    <row r="53" spans="3:20">
      <c r="D53" t="s">
        <v>149</v>
      </c>
      <c r="E53" t="s">
        <v>116</v>
      </c>
      <c r="F53" s="62">
        <v>6</v>
      </c>
      <c r="G53" s="62">
        <v>16</v>
      </c>
      <c r="H53">
        <f>(G54*F53)-(G53*F54)</f>
        <v>14</v>
      </c>
      <c r="J53" t="s">
        <v>122</v>
      </c>
      <c r="K53" t="s">
        <v>116</v>
      </c>
      <c r="L53" s="62">
        <v>3</v>
      </c>
      <c r="M53" s="62">
        <v>7</v>
      </c>
      <c r="N53">
        <f>(M54*L53)-(M53*L54)</f>
        <v>14</v>
      </c>
      <c r="P53" t="s">
        <v>125</v>
      </c>
      <c r="Q53" t="s">
        <v>116</v>
      </c>
      <c r="R53" s="62">
        <v>3</v>
      </c>
      <c r="S53" s="62">
        <v>7</v>
      </c>
      <c r="T53">
        <f>(S54*R53)-(S53*R54)</f>
        <v>6</v>
      </c>
    </row>
    <row r="54" spans="3:20">
      <c r="F54" s="62">
        <v>7</v>
      </c>
      <c r="G54" s="62">
        <v>21</v>
      </c>
      <c r="L54" s="62">
        <v>7</v>
      </c>
      <c r="M54" s="62">
        <v>21</v>
      </c>
      <c r="R54" s="62">
        <v>6</v>
      </c>
      <c r="S54" s="62">
        <v>16</v>
      </c>
    </row>
    <row r="56" spans="3:20">
      <c r="D56" t="s">
        <v>150</v>
      </c>
      <c r="E56" t="s">
        <v>116</v>
      </c>
      <c r="F56" s="62">
        <v>6</v>
      </c>
      <c r="G56" s="62">
        <v>14</v>
      </c>
      <c r="H56">
        <f>(G57*F56)-(G56*F57)</f>
        <v>-2</v>
      </c>
      <c r="J56" t="s">
        <v>123</v>
      </c>
      <c r="K56" t="s">
        <v>116</v>
      </c>
      <c r="L56" s="62">
        <v>3</v>
      </c>
      <c r="M56" s="62">
        <v>6</v>
      </c>
      <c r="N56">
        <f>(M57*L56)-(M56*L57)</f>
        <v>6</v>
      </c>
      <c r="P56" t="s">
        <v>126</v>
      </c>
      <c r="Q56" t="s">
        <v>116</v>
      </c>
      <c r="R56" s="62">
        <v>3</v>
      </c>
      <c r="S56" s="62">
        <v>6</v>
      </c>
      <c r="T56">
        <f>(S57*R56)-(S56*R57)</f>
        <v>6</v>
      </c>
    </row>
    <row r="57" spans="3:20">
      <c r="F57" s="62">
        <v>7</v>
      </c>
      <c r="G57" s="62">
        <v>16</v>
      </c>
      <c r="L57" s="62">
        <v>7</v>
      </c>
      <c r="M57" s="62">
        <v>16</v>
      </c>
      <c r="R57" s="62">
        <v>6</v>
      </c>
      <c r="S57" s="62">
        <v>14</v>
      </c>
    </row>
    <row r="58" spans="3:20">
      <c r="H58" s="102" t="s">
        <v>152</v>
      </c>
      <c r="I58" s="102"/>
      <c r="J58" s="102"/>
    </row>
    <row r="59" spans="3:20">
      <c r="C59" t="s">
        <v>151</v>
      </c>
      <c r="E59" s="62">
        <v>38</v>
      </c>
      <c r="F59" s="62">
        <v>14</v>
      </c>
      <c r="G59" s="62">
        <v>-2</v>
      </c>
      <c r="H59" t="s">
        <v>114</v>
      </c>
      <c r="I59" t="s">
        <v>117</v>
      </c>
      <c r="J59" t="s">
        <v>121</v>
      </c>
    </row>
    <row r="60" spans="3:20">
      <c r="E60" s="62">
        <v>14</v>
      </c>
      <c r="F60" s="67">
        <v>14</v>
      </c>
      <c r="G60" s="67">
        <v>6</v>
      </c>
      <c r="H60" t="s">
        <v>145</v>
      </c>
      <c r="I60" t="s">
        <v>119</v>
      </c>
      <c r="J60" t="s">
        <v>120</v>
      </c>
    </row>
    <row r="61" spans="3:20">
      <c r="E61" s="62">
        <v>-2</v>
      </c>
      <c r="F61" s="67">
        <v>6</v>
      </c>
      <c r="G61" s="67">
        <v>6</v>
      </c>
      <c r="H61" t="s">
        <v>146</v>
      </c>
      <c r="I61" t="s">
        <v>147</v>
      </c>
      <c r="J61" t="s">
        <v>148</v>
      </c>
    </row>
    <row r="63" spans="3:20">
      <c r="E63" s="62">
        <v>38</v>
      </c>
      <c r="F63" s="62">
        <v>-14</v>
      </c>
      <c r="G63" s="62">
        <v>-2</v>
      </c>
    </row>
    <row r="64" spans="3:20">
      <c r="E64" s="62">
        <v>-14</v>
      </c>
      <c r="F64" s="67">
        <v>14</v>
      </c>
      <c r="G64" s="62">
        <v>-6</v>
      </c>
    </row>
    <row r="65" spans="3:12">
      <c r="E65" s="62">
        <v>-2</v>
      </c>
      <c r="F65" s="62">
        <v>-6</v>
      </c>
      <c r="G65" s="67">
        <v>6</v>
      </c>
    </row>
    <row r="67" spans="3:12">
      <c r="E67" s="63"/>
      <c r="F67" s="62"/>
      <c r="G67" s="62"/>
    </row>
    <row r="68" spans="3:12">
      <c r="C68" t="s">
        <v>134</v>
      </c>
      <c r="F68" s="62"/>
      <c r="G68" s="62"/>
    </row>
    <row r="69" spans="3:12">
      <c r="F69" s="62"/>
      <c r="G69" s="62"/>
    </row>
    <row r="70" spans="3:12">
      <c r="D70" s="81" t="s">
        <v>133</v>
      </c>
      <c r="E70" s="81" t="s">
        <v>105</v>
      </c>
      <c r="F70" s="81" t="s">
        <v>153</v>
      </c>
      <c r="G70" s="81" t="s">
        <v>154</v>
      </c>
    </row>
    <row r="72" spans="3:12">
      <c r="G72" s="66" t="s">
        <v>127</v>
      </c>
      <c r="H72" s="66" t="s">
        <v>131</v>
      </c>
      <c r="I72" s="65" t="s">
        <v>130</v>
      </c>
    </row>
    <row r="73" spans="3:12">
      <c r="E73" s="58" t="s">
        <v>105</v>
      </c>
      <c r="G73" s="66" t="s">
        <v>131</v>
      </c>
      <c r="H73" s="66" t="s">
        <v>128</v>
      </c>
      <c r="I73" s="65" t="s">
        <v>132</v>
      </c>
    </row>
    <row r="74" spans="3:12">
      <c r="G74" s="66" t="s">
        <v>130</v>
      </c>
      <c r="H74" s="66" t="s">
        <v>132</v>
      </c>
      <c r="I74" s="65" t="s">
        <v>129</v>
      </c>
    </row>
    <row r="77" spans="3:12">
      <c r="F77" t="s">
        <v>105</v>
      </c>
      <c r="G77">
        <v>28</v>
      </c>
    </row>
    <row r="78" spans="3:12">
      <c r="G78">
        <v>64</v>
      </c>
    </row>
    <row r="79" spans="3:12">
      <c r="G79">
        <v>76</v>
      </c>
      <c r="J79" t="s">
        <v>142</v>
      </c>
      <c r="K79" t="s">
        <v>143</v>
      </c>
      <c r="L79" t="s">
        <v>143</v>
      </c>
    </row>
    <row r="81" spans="2:11">
      <c r="G81" s="66" t="s">
        <v>127</v>
      </c>
      <c r="H81" s="66" t="s">
        <v>131</v>
      </c>
      <c r="I81" s="65" t="s">
        <v>130</v>
      </c>
      <c r="J81">
        <v>28</v>
      </c>
    </row>
    <row r="82" spans="2:11">
      <c r="F82" t="s">
        <v>105</v>
      </c>
      <c r="G82" s="66" t="s">
        <v>131</v>
      </c>
      <c r="H82" s="66" t="s">
        <v>128</v>
      </c>
      <c r="I82" s="65" t="s">
        <v>132</v>
      </c>
      <c r="J82">
        <v>64</v>
      </c>
    </row>
    <row r="83" spans="2:11">
      <c r="G83" s="66" t="s">
        <v>130</v>
      </c>
      <c r="H83" s="66" t="s">
        <v>132</v>
      </c>
      <c r="I83" s="65" t="s">
        <v>129</v>
      </c>
      <c r="J83">
        <v>76</v>
      </c>
    </row>
    <row r="86" spans="2:11">
      <c r="G86" s="64">
        <f>((38/16)*28)+((-14/16)*64)+((-2/16)*76)</f>
        <v>1</v>
      </c>
    </row>
    <row r="87" spans="2:11">
      <c r="G87">
        <f>((-14/16)*28)+((14/16)*64)+((-6/16)*76)</f>
        <v>3</v>
      </c>
    </row>
    <row r="88" spans="2:11">
      <c r="G88">
        <f>((-2/16)*28)+((-6/16)*64)+((6/16)*76)</f>
        <v>1</v>
      </c>
    </row>
    <row r="92" spans="2:11">
      <c r="J92" s="54">
        <v>1</v>
      </c>
      <c r="K92" s="54">
        <v>2</v>
      </c>
    </row>
    <row r="95" spans="2:11">
      <c r="G95" s="69" t="s">
        <v>135</v>
      </c>
    </row>
    <row r="96" spans="2:11">
      <c r="B96" s="41" t="s">
        <v>138</v>
      </c>
      <c r="E96" s="16" t="s">
        <v>136</v>
      </c>
      <c r="F96" s="16" t="s">
        <v>137</v>
      </c>
      <c r="G96" s="68" t="s">
        <v>103</v>
      </c>
    </row>
    <row r="97" spans="5:11">
      <c r="E97" s="1">
        <v>1</v>
      </c>
      <c r="F97" s="1">
        <v>2</v>
      </c>
      <c r="G97" s="1">
        <f>1+(3*1)+2</f>
        <v>6</v>
      </c>
      <c r="K97" t="s">
        <v>155</v>
      </c>
    </row>
    <row r="98" spans="5:11">
      <c r="E98">
        <v>3</v>
      </c>
      <c r="F98">
        <v>4</v>
      </c>
      <c r="G98" s="80">
        <f>1+(3*3)+4</f>
        <v>14</v>
      </c>
    </row>
  </sheetData>
  <mergeCells count="2">
    <mergeCell ref="F30:G30"/>
    <mergeCell ref="H58:J58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T78"/>
  <sheetViews>
    <sheetView topLeftCell="A22" workbookViewId="0">
      <selection activeCell="H73" sqref="H73"/>
    </sheetView>
  </sheetViews>
  <sheetFormatPr defaultRowHeight="14.5"/>
  <sheetData>
    <row r="4" spans="2:8">
      <c r="B4" s="83" t="s">
        <v>156</v>
      </c>
      <c r="C4" s="83" t="s">
        <v>157</v>
      </c>
      <c r="D4" s="83" t="s">
        <v>158</v>
      </c>
      <c r="E4" s="83" t="s">
        <v>159</v>
      </c>
      <c r="F4" s="83" t="s">
        <v>165</v>
      </c>
      <c r="G4" s="83" t="s">
        <v>160</v>
      </c>
      <c r="H4" s="83" t="s">
        <v>161</v>
      </c>
    </row>
    <row r="5" spans="2:8">
      <c r="B5" s="1">
        <v>1</v>
      </c>
      <c r="C5" s="1">
        <v>1</v>
      </c>
      <c r="D5" s="1">
        <f>B5*C5</f>
        <v>1</v>
      </c>
      <c r="E5" s="1">
        <f>B5^2</f>
        <v>1</v>
      </c>
      <c r="F5" s="1">
        <f>E5*C5</f>
        <v>1</v>
      </c>
      <c r="G5" s="1">
        <f>B5^3</f>
        <v>1</v>
      </c>
      <c r="H5" s="1">
        <f>B5^4</f>
        <v>1</v>
      </c>
    </row>
    <row r="6" spans="2:8">
      <c r="B6" s="122">
        <v>2</v>
      </c>
      <c r="C6" s="122">
        <v>4</v>
      </c>
      <c r="D6" s="1">
        <f>B6*C6</f>
        <v>8</v>
      </c>
      <c r="E6" s="1">
        <f>B6^2</f>
        <v>4</v>
      </c>
      <c r="F6" s="1">
        <f>E6*C6</f>
        <v>16</v>
      </c>
      <c r="G6" s="1">
        <f>B6^3</f>
        <v>8</v>
      </c>
      <c r="H6" s="1">
        <f>B6^4</f>
        <v>16</v>
      </c>
    </row>
    <row r="7" spans="2:8">
      <c r="B7" s="1">
        <v>3</v>
      </c>
      <c r="C7" s="1">
        <v>9</v>
      </c>
      <c r="D7" s="1">
        <f>B7*C7</f>
        <v>27</v>
      </c>
      <c r="E7" s="1">
        <f>B7^2</f>
        <v>9</v>
      </c>
      <c r="F7" s="1">
        <f>E7*C7</f>
        <v>81</v>
      </c>
      <c r="G7" s="1">
        <f>B7^3</f>
        <v>27</v>
      </c>
      <c r="H7" s="1">
        <f>B7^4</f>
        <v>81</v>
      </c>
    </row>
    <row r="8" spans="2:8">
      <c r="B8" s="1">
        <v>4</v>
      </c>
      <c r="C8" s="1">
        <v>15</v>
      </c>
      <c r="D8" s="1">
        <f>B8*C8</f>
        <v>60</v>
      </c>
      <c r="E8" s="1">
        <f>B8^2</f>
        <v>16</v>
      </c>
      <c r="F8" s="1">
        <f>E8*C8</f>
        <v>240</v>
      </c>
      <c r="G8" s="1">
        <f>B8^3</f>
        <v>64</v>
      </c>
      <c r="H8" s="1">
        <f>B8^4</f>
        <v>256</v>
      </c>
    </row>
    <row r="9" spans="2:8">
      <c r="B9" s="89">
        <f t="shared" ref="B9:H9" si="0">SUM(B5:B8)</f>
        <v>10</v>
      </c>
      <c r="C9" s="89">
        <f t="shared" si="0"/>
        <v>29</v>
      </c>
      <c r="D9" s="89">
        <f t="shared" si="0"/>
        <v>96</v>
      </c>
      <c r="E9" s="89">
        <f t="shared" si="0"/>
        <v>30</v>
      </c>
      <c r="F9" s="89">
        <f t="shared" si="0"/>
        <v>338</v>
      </c>
      <c r="G9" s="89">
        <f t="shared" si="0"/>
        <v>100</v>
      </c>
      <c r="H9" s="89">
        <f t="shared" si="0"/>
        <v>354</v>
      </c>
    </row>
    <row r="10" spans="2:8" ht="29">
      <c r="B10" s="82" t="s">
        <v>162</v>
      </c>
      <c r="C10" s="82" t="s">
        <v>163</v>
      </c>
      <c r="D10" s="82" t="s">
        <v>164</v>
      </c>
      <c r="E10" s="82" t="s">
        <v>302</v>
      </c>
      <c r="F10" s="82" t="s">
        <v>166</v>
      </c>
      <c r="G10" s="82" t="s">
        <v>168</v>
      </c>
      <c r="H10" s="82" t="s">
        <v>167</v>
      </c>
    </row>
    <row r="13" spans="2:8">
      <c r="C13" t="s">
        <v>169</v>
      </c>
      <c r="D13" t="s">
        <v>170</v>
      </c>
      <c r="E13" t="s">
        <v>171</v>
      </c>
      <c r="G13" t="s">
        <v>176</v>
      </c>
    </row>
    <row r="14" spans="2:8">
      <c r="B14" t="s">
        <v>174</v>
      </c>
      <c r="C14" t="s">
        <v>170</v>
      </c>
      <c r="D14" t="s">
        <v>171</v>
      </c>
      <c r="E14" t="s">
        <v>172</v>
      </c>
      <c r="F14" t="s">
        <v>175</v>
      </c>
      <c r="G14" t="s">
        <v>177</v>
      </c>
    </row>
    <row r="15" spans="2:8">
      <c r="C15" t="s">
        <v>171</v>
      </c>
      <c r="D15" t="s">
        <v>172</v>
      </c>
      <c r="E15" t="s">
        <v>173</v>
      </c>
      <c r="G15" t="s">
        <v>178</v>
      </c>
    </row>
    <row r="17" spans="2:20">
      <c r="C17">
        <v>4</v>
      </c>
      <c r="D17">
        <v>10</v>
      </c>
      <c r="E17">
        <v>30</v>
      </c>
      <c r="G17" s="60">
        <v>29</v>
      </c>
    </row>
    <row r="18" spans="2:20">
      <c r="B18" t="s">
        <v>174</v>
      </c>
      <c r="C18">
        <v>10</v>
      </c>
      <c r="D18">
        <v>30</v>
      </c>
      <c r="E18">
        <v>100</v>
      </c>
      <c r="F18" s="58" t="s">
        <v>175</v>
      </c>
      <c r="G18" s="60">
        <v>96</v>
      </c>
    </row>
    <row r="19" spans="2:20">
      <c r="C19">
        <v>30</v>
      </c>
      <c r="D19">
        <v>100</v>
      </c>
      <c r="E19">
        <v>354</v>
      </c>
      <c r="G19" s="60">
        <v>338</v>
      </c>
    </row>
    <row r="22" spans="2:20">
      <c r="D22" s="78">
        <v>4</v>
      </c>
      <c r="E22" s="119">
        <v>10</v>
      </c>
      <c r="F22" s="78">
        <v>30</v>
      </c>
      <c r="H22" s="60">
        <v>29</v>
      </c>
      <c r="J22" s="118">
        <f>4*((30*354)-(100*100))-10*(10*354-30*100)+30*(10*100-30*30)</f>
        <v>80</v>
      </c>
    </row>
    <row r="23" spans="2:20">
      <c r="C23" s="58" t="s">
        <v>105</v>
      </c>
      <c r="D23" s="78">
        <v>10</v>
      </c>
      <c r="E23" s="120">
        <v>30</v>
      </c>
      <c r="F23" s="90">
        <v>100</v>
      </c>
      <c r="G23" s="60" t="s">
        <v>175</v>
      </c>
      <c r="H23" s="60">
        <v>96</v>
      </c>
    </row>
    <row r="24" spans="2:20">
      <c r="D24" s="119">
        <v>30</v>
      </c>
      <c r="E24" s="120">
        <v>100</v>
      </c>
      <c r="F24" s="120">
        <v>354</v>
      </c>
      <c r="H24" s="60">
        <v>338</v>
      </c>
    </row>
    <row r="25" spans="2:20">
      <c r="D25" s="78"/>
    </row>
    <row r="27" spans="2:20">
      <c r="C27" t="s">
        <v>179</v>
      </c>
      <c r="D27" s="118">
        <f>(D22*((E23*F24)-(E24*F23))-E22*((D23*F24)-(D24*F23))+F22*((D23*E24)-(E23*D24)))</f>
        <v>80</v>
      </c>
    </row>
    <row r="29" spans="2:20">
      <c r="C29" t="s">
        <v>144</v>
      </c>
      <c r="D29" t="s">
        <v>115</v>
      </c>
      <c r="E29" t="s">
        <v>116</v>
      </c>
      <c r="F29" s="62">
        <v>30</v>
      </c>
      <c r="G29" s="62">
        <v>100</v>
      </c>
      <c r="H29">
        <f>(G30*F29)-(G29*F30)</f>
        <v>620</v>
      </c>
      <c r="J29" t="s">
        <v>118</v>
      </c>
      <c r="K29" t="s">
        <v>116</v>
      </c>
      <c r="L29" s="62">
        <v>10</v>
      </c>
      <c r="M29" s="62">
        <v>30</v>
      </c>
      <c r="N29">
        <f>(M30*L29)-(M29*L30)</f>
        <v>540</v>
      </c>
      <c r="P29" t="s">
        <v>124</v>
      </c>
      <c r="Q29" t="s">
        <v>116</v>
      </c>
      <c r="R29" s="62">
        <v>10</v>
      </c>
      <c r="S29" s="62">
        <v>30</v>
      </c>
      <c r="T29">
        <f>(S30*R29)-(S29*R30)</f>
        <v>100</v>
      </c>
    </row>
    <row r="30" spans="2:20">
      <c r="F30" s="62">
        <v>100</v>
      </c>
      <c r="G30" s="62">
        <v>354</v>
      </c>
      <c r="L30" s="62">
        <v>100</v>
      </c>
      <c r="M30" s="62">
        <v>354</v>
      </c>
      <c r="R30" s="62">
        <v>30</v>
      </c>
      <c r="S30" s="62">
        <v>100</v>
      </c>
    </row>
    <row r="33" spans="2:20">
      <c r="D33" t="s">
        <v>149</v>
      </c>
      <c r="E33" t="s">
        <v>116</v>
      </c>
      <c r="F33" s="62">
        <v>10</v>
      </c>
      <c r="G33" s="62">
        <v>100</v>
      </c>
      <c r="H33">
        <f>(G34*F33)-(G33*F34)</f>
        <v>540</v>
      </c>
      <c r="J33" t="s">
        <v>122</v>
      </c>
      <c r="K33" t="s">
        <v>116</v>
      </c>
      <c r="L33" s="62">
        <v>4</v>
      </c>
      <c r="M33" s="62">
        <v>30</v>
      </c>
      <c r="N33">
        <f>(M34*L33)-(M33*L34)</f>
        <v>516</v>
      </c>
      <c r="P33" t="s">
        <v>125</v>
      </c>
      <c r="Q33" t="s">
        <v>116</v>
      </c>
      <c r="R33" s="62">
        <v>4</v>
      </c>
      <c r="S33" s="62">
        <v>30</v>
      </c>
      <c r="T33">
        <f>(S34*R33)-(S33*R34)</f>
        <v>100</v>
      </c>
    </row>
    <row r="34" spans="2:20">
      <c r="F34" s="62">
        <v>30</v>
      </c>
      <c r="G34" s="62">
        <v>354</v>
      </c>
      <c r="L34" s="62">
        <v>30</v>
      </c>
      <c r="M34" s="62">
        <v>354</v>
      </c>
      <c r="R34" s="62">
        <v>10</v>
      </c>
      <c r="S34" s="62">
        <v>100</v>
      </c>
    </row>
    <row r="36" spans="2:20">
      <c r="D36" t="s">
        <v>150</v>
      </c>
      <c r="E36" t="s">
        <v>116</v>
      </c>
      <c r="F36" s="62">
        <v>10</v>
      </c>
      <c r="G36" s="62">
        <v>30</v>
      </c>
      <c r="H36">
        <f>(G37*F36)-(G36*F37)</f>
        <v>100</v>
      </c>
      <c r="J36" t="s">
        <v>123</v>
      </c>
      <c r="K36" t="s">
        <v>116</v>
      </c>
      <c r="L36" s="62">
        <v>4</v>
      </c>
      <c r="M36" s="62">
        <v>10</v>
      </c>
      <c r="N36">
        <f>(M37*L36)-(M36*L37)</f>
        <v>100</v>
      </c>
      <c r="P36" t="s">
        <v>126</v>
      </c>
      <c r="Q36" t="s">
        <v>116</v>
      </c>
      <c r="R36" s="62">
        <v>4</v>
      </c>
      <c r="S36" s="62">
        <v>10</v>
      </c>
      <c r="T36">
        <f>(S37*R36)-(S36*R37)</f>
        <v>20</v>
      </c>
    </row>
    <row r="37" spans="2:20">
      <c r="F37" s="62">
        <v>30</v>
      </c>
      <c r="G37" s="62">
        <v>100</v>
      </c>
      <c r="L37" s="62">
        <v>30</v>
      </c>
      <c r="M37" s="62">
        <v>100</v>
      </c>
      <c r="R37" s="62">
        <v>10</v>
      </c>
      <c r="S37" s="62">
        <v>30</v>
      </c>
    </row>
    <row r="38" spans="2:20">
      <c r="H38" s="102" t="s">
        <v>152</v>
      </c>
      <c r="I38" s="102"/>
      <c r="J38" s="102"/>
    </row>
    <row r="40" spans="2:20">
      <c r="G40" s="102" t="s">
        <v>152</v>
      </c>
      <c r="H40" s="102"/>
      <c r="I40" s="102"/>
    </row>
    <row r="41" spans="2:20">
      <c r="B41" t="s">
        <v>151</v>
      </c>
      <c r="D41" s="62">
        <v>620</v>
      </c>
      <c r="E41" s="62">
        <v>540</v>
      </c>
      <c r="F41" s="62">
        <v>100</v>
      </c>
      <c r="G41" t="s">
        <v>114</v>
      </c>
      <c r="H41" t="s">
        <v>117</v>
      </c>
      <c r="I41" t="s">
        <v>121</v>
      </c>
    </row>
    <row r="42" spans="2:20">
      <c r="D42" s="62">
        <v>540</v>
      </c>
      <c r="E42" s="67">
        <v>516</v>
      </c>
      <c r="F42" s="67">
        <v>100</v>
      </c>
      <c r="G42" t="s">
        <v>145</v>
      </c>
      <c r="H42" t="s">
        <v>119</v>
      </c>
      <c r="I42" t="s">
        <v>120</v>
      </c>
    </row>
    <row r="43" spans="2:20">
      <c r="D43" s="62">
        <v>100</v>
      </c>
      <c r="E43" s="67">
        <v>100</v>
      </c>
      <c r="F43" s="67">
        <v>20</v>
      </c>
      <c r="G43" t="s">
        <v>146</v>
      </c>
      <c r="H43" t="s">
        <v>147</v>
      </c>
      <c r="I43" t="s">
        <v>148</v>
      </c>
    </row>
    <row r="45" spans="2:20">
      <c r="D45" s="62">
        <v>620</v>
      </c>
      <c r="E45" s="62">
        <v>-540</v>
      </c>
      <c r="F45" s="62">
        <v>100</v>
      </c>
    </row>
    <row r="46" spans="2:20">
      <c r="D46" s="62">
        <v>-540</v>
      </c>
      <c r="E46" s="67">
        <v>516</v>
      </c>
      <c r="F46" s="62">
        <v>-100</v>
      </c>
    </row>
    <row r="47" spans="2:20">
      <c r="D47" s="62">
        <v>100</v>
      </c>
      <c r="E47" s="62">
        <v>-100</v>
      </c>
      <c r="F47" s="67">
        <v>20</v>
      </c>
    </row>
    <row r="50" spans="2:12">
      <c r="B50" t="s">
        <v>134</v>
      </c>
      <c r="E50" s="62"/>
      <c r="F50" s="62"/>
    </row>
    <row r="51" spans="2:12">
      <c r="E51" s="62"/>
      <c r="F51" s="62"/>
    </row>
    <row r="52" spans="2:12">
      <c r="C52" s="81" t="s">
        <v>189</v>
      </c>
      <c r="D52" s="81" t="s">
        <v>105</v>
      </c>
      <c r="E52" s="81" t="s">
        <v>190</v>
      </c>
      <c r="F52" s="81" t="s">
        <v>191</v>
      </c>
    </row>
    <row r="56" spans="2:12">
      <c r="E56" s="66" t="s">
        <v>180</v>
      </c>
      <c r="F56" s="66" t="s">
        <v>182</v>
      </c>
      <c r="G56" s="66" t="s">
        <v>181</v>
      </c>
      <c r="H56" s="76"/>
    </row>
    <row r="57" spans="2:12">
      <c r="C57" s="62" t="s">
        <v>188</v>
      </c>
      <c r="D57" s="76" t="s">
        <v>105</v>
      </c>
      <c r="E57" s="66" t="s">
        <v>182</v>
      </c>
      <c r="F57" s="85" t="s">
        <v>183</v>
      </c>
      <c r="G57" s="66" t="s">
        <v>184</v>
      </c>
      <c r="H57" s="76"/>
    </row>
    <row r="58" spans="2:12">
      <c r="E58" s="66" t="s">
        <v>181</v>
      </c>
      <c r="F58" s="66" t="s">
        <v>184</v>
      </c>
      <c r="G58" s="85" t="s">
        <v>185</v>
      </c>
      <c r="H58" s="76"/>
    </row>
    <row r="59" spans="2:12">
      <c r="L59" s="119">
        <f>620/80*29-540/80*96+100/80*338</f>
        <v>-0.75</v>
      </c>
    </row>
    <row r="60" spans="2:12">
      <c r="E60" s="66" t="s">
        <v>180</v>
      </c>
      <c r="F60" s="66" t="s">
        <v>182</v>
      </c>
      <c r="G60" s="66" t="s">
        <v>181</v>
      </c>
      <c r="H60" s="76">
        <v>29</v>
      </c>
      <c r="L60" s="119">
        <f>-540/80*29+516/80*96-100/80*338</f>
        <v>0.95000000000004547</v>
      </c>
    </row>
    <row r="61" spans="2:12">
      <c r="D61" s="62" t="s">
        <v>187</v>
      </c>
      <c r="E61" s="66" t="s">
        <v>182</v>
      </c>
      <c r="F61" s="85" t="s">
        <v>183</v>
      </c>
      <c r="G61" s="66" t="s">
        <v>184</v>
      </c>
      <c r="H61" s="76">
        <v>96</v>
      </c>
      <c r="J61" s="86" t="s">
        <v>142</v>
      </c>
      <c r="K61" s="86" t="s">
        <v>143</v>
      </c>
      <c r="L61" s="121">
        <f>100/80*29-100/80*96+20/80*338</f>
        <v>0.75</v>
      </c>
    </row>
    <row r="62" spans="2:12">
      <c r="E62" s="66" t="s">
        <v>181</v>
      </c>
      <c r="F62" s="66" t="s">
        <v>184</v>
      </c>
      <c r="G62" s="85" t="s">
        <v>185</v>
      </c>
      <c r="H62" s="76">
        <v>338</v>
      </c>
      <c r="J62" s="85" t="s">
        <v>143</v>
      </c>
    </row>
    <row r="64" spans="2:12">
      <c r="E64" s="119">
        <f>(620/80*29)+(-540/80*96)+(100/80*338)</f>
        <v>-0.75</v>
      </c>
    </row>
    <row r="65" spans="3:18">
      <c r="D65" s="58" t="s">
        <v>186</v>
      </c>
      <c r="E65" s="119">
        <f>(-540/80*29)+(516/80*96)+(-100/80*338)</f>
        <v>0.95000000000004547</v>
      </c>
    </row>
    <row r="66" spans="3:18">
      <c r="E66" s="119">
        <f>(100/80*29)+(-100/80*96)+(20/80*338)</f>
        <v>0.75</v>
      </c>
    </row>
    <row r="68" spans="3:18">
      <c r="D68" t="s">
        <v>103</v>
      </c>
      <c r="E68" t="s">
        <v>105</v>
      </c>
      <c r="F68" s="103" t="s">
        <v>192</v>
      </c>
      <c r="G68" s="103"/>
      <c r="H68" s="103"/>
      <c r="I68" s="103"/>
      <c r="J68" s="103"/>
    </row>
    <row r="70" spans="3:18">
      <c r="C70" t="s">
        <v>193</v>
      </c>
      <c r="D70">
        <v>2</v>
      </c>
      <c r="E70">
        <v>4</v>
      </c>
      <c r="N70" s="103"/>
      <c r="O70" s="103"/>
      <c r="P70" s="103"/>
      <c r="Q70" s="103"/>
      <c r="R70" s="103"/>
    </row>
    <row r="71" spans="3:18">
      <c r="N71">
        <f>(- 0.75 + 0.95 * 2 + 0.75 * 2^2)</f>
        <v>4.1500000000000004</v>
      </c>
    </row>
    <row r="72" spans="3:18">
      <c r="D72" t="s">
        <v>194</v>
      </c>
      <c r="E72" t="s">
        <v>105</v>
      </c>
      <c r="F72" s="103" t="s">
        <v>195</v>
      </c>
      <c r="G72" s="103"/>
      <c r="H72" s="103"/>
      <c r="I72" s="103"/>
      <c r="J72" s="103"/>
    </row>
    <row r="73" spans="3:18">
      <c r="F73" s="66"/>
      <c r="G73" s="66"/>
      <c r="H73" s="66"/>
      <c r="I73" s="66"/>
      <c r="J73" s="66"/>
    </row>
    <row r="74" spans="3:18">
      <c r="D74" s="1" t="s">
        <v>47</v>
      </c>
      <c r="E74" s="1" t="s">
        <v>48</v>
      </c>
      <c r="F74" s="87" t="s">
        <v>196</v>
      </c>
      <c r="G74" s="66"/>
      <c r="H74" s="66"/>
      <c r="I74" s="66"/>
      <c r="J74" s="66"/>
    </row>
    <row r="75" spans="3:18">
      <c r="D75" s="1">
        <v>1</v>
      </c>
      <c r="E75" s="1">
        <f>-(0.75)+(0.95*1)+(0.75*1)</f>
        <v>0.95</v>
      </c>
      <c r="F75" s="1">
        <v>1</v>
      </c>
    </row>
    <row r="76" spans="3:18">
      <c r="D76" s="1">
        <v>2</v>
      </c>
      <c r="E76" s="1">
        <f>-(0.75)+(0.95*2)+(0.75*4)</f>
        <v>4.1500000000000004</v>
      </c>
      <c r="F76" s="1">
        <v>4</v>
      </c>
    </row>
    <row r="77" spans="3:18">
      <c r="D77" s="1">
        <v>3</v>
      </c>
      <c r="E77" s="1">
        <f>-(0.75)+(0.95*3)+(0.75*9)</f>
        <v>8.85</v>
      </c>
      <c r="F77" s="1">
        <v>9</v>
      </c>
    </row>
    <row r="78" spans="3:18">
      <c r="D78" s="1">
        <v>4</v>
      </c>
      <c r="E78" s="1">
        <f>-(0.75)+(0.95*4)+(0.75*16)</f>
        <v>15.05</v>
      </c>
      <c r="F78" s="1">
        <v>15</v>
      </c>
    </row>
  </sheetData>
  <mergeCells count="5">
    <mergeCell ref="H38:J38"/>
    <mergeCell ref="G40:I40"/>
    <mergeCell ref="F68:J68"/>
    <mergeCell ref="F72:J72"/>
    <mergeCell ref="N70:R70"/>
  </mergeCells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17"/>
  <sheetViews>
    <sheetView workbookViewId="0">
      <selection activeCell="H11" sqref="H11"/>
    </sheetView>
  </sheetViews>
  <sheetFormatPr defaultRowHeight="14.5"/>
  <cols>
    <col min="3" max="3" width="18.81640625" bestFit="1" customWidth="1"/>
  </cols>
  <sheetData>
    <row r="3" spans="2:8" ht="22.5">
      <c r="B3" t="s">
        <v>301</v>
      </c>
      <c r="C3" s="88" t="s">
        <v>197</v>
      </c>
      <c r="D3" t="s">
        <v>205</v>
      </c>
    </row>
    <row r="4" spans="2:8">
      <c r="C4" s="65" t="s">
        <v>202</v>
      </c>
      <c r="D4" s="65"/>
      <c r="E4" s="65"/>
      <c r="H4" s="65" t="s">
        <v>198</v>
      </c>
    </row>
    <row r="5" spans="2:8">
      <c r="C5" s="65" t="s">
        <v>203</v>
      </c>
      <c r="D5" s="65"/>
      <c r="E5" s="65"/>
      <c r="H5" s="65"/>
    </row>
    <row r="6" spans="2:8">
      <c r="C6" s="65" t="s">
        <v>204</v>
      </c>
      <c r="D6" s="65"/>
      <c r="E6" s="65"/>
      <c r="H6" s="65"/>
    </row>
    <row r="7" spans="2:8">
      <c r="C7" s="65"/>
      <c r="D7" s="65"/>
      <c r="E7" s="65"/>
      <c r="H7" s="65"/>
    </row>
    <row r="8" spans="2:8">
      <c r="C8" t="s">
        <v>199</v>
      </c>
    </row>
    <row r="10" spans="2:8">
      <c r="C10" t="s">
        <v>200</v>
      </c>
    </row>
    <row r="13" spans="2:8">
      <c r="C13" t="s">
        <v>201</v>
      </c>
    </row>
    <row r="14" spans="2:8">
      <c r="C14">
        <v>0</v>
      </c>
    </row>
    <row r="15" spans="2:8">
      <c r="C15" t="s">
        <v>206</v>
      </c>
      <c r="D15" t="s">
        <v>207</v>
      </c>
    </row>
    <row r="17" spans="3:3">
      <c r="C17" t="s">
        <v>208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topLeftCell="A34" workbookViewId="0">
      <selection activeCell="C56" sqref="C56"/>
    </sheetView>
  </sheetViews>
  <sheetFormatPr defaultRowHeight="14.5"/>
  <sheetData>
    <row r="1" spans="1:7">
      <c r="A1" s="41" t="s">
        <v>244</v>
      </c>
    </row>
    <row r="6" spans="1:7">
      <c r="C6" t="s">
        <v>248</v>
      </c>
    </row>
    <row r="8" spans="1:7" ht="17.5">
      <c r="G8" s="108" t="s">
        <v>247</v>
      </c>
    </row>
    <row r="9" spans="1:7" ht="17.5">
      <c r="G9" s="108" t="s">
        <v>245</v>
      </c>
    </row>
    <row r="10" spans="1:7" ht="17.5">
      <c r="G10" s="108" t="s">
        <v>246</v>
      </c>
    </row>
    <row r="12" spans="1:7" ht="21">
      <c r="D12" s="109" t="s">
        <v>249</v>
      </c>
    </row>
    <row r="13" spans="1:7" ht="21">
      <c r="D13" s="110"/>
      <c r="G13" s="109" t="s">
        <v>250</v>
      </c>
    </row>
    <row r="16" spans="1:7" ht="20.5">
      <c r="D16" s="111" t="s">
        <v>251</v>
      </c>
    </row>
    <row r="17" spans="4:7" ht="21">
      <c r="D17" s="109" t="s">
        <v>252</v>
      </c>
    </row>
    <row r="18" spans="4:7" ht="21">
      <c r="D18" s="109"/>
      <c r="G18" s="109" t="s">
        <v>253</v>
      </c>
    </row>
    <row r="20" spans="4:7" ht="21">
      <c r="D20" s="109"/>
    </row>
    <row r="23" spans="4:7" ht="21">
      <c r="G23" s="109" t="s">
        <v>254</v>
      </c>
    </row>
    <row r="26" spans="4:7" ht="21">
      <c r="G26" s="109" t="s">
        <v>255</v>
      </c>
    </row>
    <row r="27" spans="4:7" ht="21">
      <c r="G27" s="109" t="s">
        <v>256</v>
      </c>
    </row>
    <row r="50" spans="7:7">
      <c r="G50" t="s">
        <v>257</v>
      </c>
    </row>
    <row r="54" spans="7:7">
      <c r="G54" t="s">
        <v>258</v>
      </c>
    </row>
    <row r="72" spans="7:11">
      <c r="G72" s="106"/>
      <c r="H72" s="106"/>
      <c r="I72" s="106"/>
      <c r="J72" s="106"/>
      <c r="K72" s="106"/>
    </row>
    <row r="73" spans="7:11">
      <c r="G73" s="106"/>
      <c r="H73" s="106"/>
      <c r="I73" s="106"/>
      <c r="J73" s="106"/>
      <c r="K73" s="106"/>
    </row>
  </sheetData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5:R49"/>
  <sheetViews>
    <sheetView tabSelected="1" topLeftCell="B13" workbookViewId="0">
      <selection activeCell="J44" sqref="J44"/>
    </sheetView>
  </sheetViews>
  <sheetFormatPr defaultRowHeight="14.5"/>
  <cols>
    <col min="12" max="12" width="14.6328125" bestFit="1" customWidth="1"/>
    <col min="15" max="15" width="16.1796875" bestFit="1" customWidth="1"/>
  </cols>
  <sheetData>
    <row r="5" spans="2:13">
      <c r="B5" s="83" t="s">
        <v>156</v>
      </c>
      <c r="C5" s="83" t="s">
        <v>157</v>
      </c>
    </row>
    <row r="6" spans="2:13">
      <c r="B6" s="1">
        <v>1</v>
      </c>
      <c r="C6" s="1">
        <v>1</v>
      </c>
    </row>
    <row r="7" spans="2:13">
      <c r="B7" s="1">
        <v>2</v>
      </c>
      <c r="C7" s="1">
        <v>2</v>
      </c>
    </row>
    <row r="8" spans="2:13">
      <c r="B8" s="1">
        <v>3</v>
      </c>
      <c r="C8" s="1">
        <v>2</v>
      </c>
    </row>
    <row r="12" spans="2:13">
      <c r="D12" s="84">
        <v>1</v>
      </c>
      <c r="E12" s="62">
        <v>1</v>
      </c>
      <c r="H12" s="62">
        <v>1</v>
      </c>
    </row>
    <row r="13" spans="2:13" ht="18.5">
      <c r="C13" t="s">
        <v>174</v>
      </c>
      <c r="D13" s="84">
        <v>1</v>
      </c>
      <c r="E13" s="62">
        <v>2</v>
      </c>
      <c r="G13" t="s">
        <v>259</v>
      </c>
      <c r="H13" s="62">
        <v>2</v>
      </c>
      <c r="J13" s="112" t="s">
        <v>260</v>
      </c>
    </row>
    <row r="14" spans="2:13">
      <c r="D14" s="84">
        <v>1</v>
      </c>
      <c r="E14" s="62">
        <v>3</v>
      </c>
      <c r="H14" s="62">
        <v>2</v>
      </c>
    </row>
    <row r="16" spans="2:13">
      <c r="M16" s="62">
        <f>D17*H12+E17*H13+F17*H14</f>
        <v>5</v>
      </c>
    </row>
    <row r="17" spans="3:18">
      <c r="C17" t="s">
        <v>261</v>
      </c>
      <c r="D17" s="62">
        <v>1</v>
      </c>
      <c r="E17" s="62">
        <v>1</v>
      </c>
      <c r="F17" s="62">
        <v>1</v>
      </c>
      <c r="I17" s="84" t="s">
        <v>105</v>
      </c>
      <c r="J17">
        <f>D17*D12+E17*D13+F17*D14</f>
        <v>3</v>
      </c>
      <c r="K17" s="84">
        <f>D17*E12+E17*E13+E14</f>
        <v>6</v>
      </c>
      <c r="L17" t="s">
        <v>265</v>
      </c>
      <c r="M17" s="62">
        <f>D18*H12+E18*H14+F18*H13</f>
        <v>11</v>
      </c>
      <c r="P17" t="s">
        <v>105</v>
      </c>
      <c r="Q17" s="84">
        <v>14</v>
      </c>
      <c r="R17" s="84">
        <v>-6</v>
      </c>
    </row>
    <row r="18" spans="3:18">
      <c r="D18" s="62">
        <v>1</v>
      </c>
      <c r="E18" s="62">
        <v>2</v>
      </c>
      <c r="F18" s="62">
        <v>3</v>
      </c>
      <c r="J18">
        <f>D18*D12+E18*D13+F18*D14</f>
        <v>6</v>
      </c>
      <c r="K18" s="84">
        <f>D18*E12+E18*E13+F18*E14</f>
        <v>14</v>
      </c>
      <c r="Q18" s="84">
        <v>-6</v>
      </c>
      <c r="R18" s="84">
        <v>3</v>
      </c>
    </row>
    <row r="20" spans="3:18">
      <c r="N20" t="s">
        <v>266</v>
      </c>
      <c r="O20" s="84" t="s">
        <v>105</v>
      </c>
      <c r="P20" s="84">
        <f>J17*K18-J18*K17</f>
        <v>6</v>
      </c>
    </row>
    <row r="22" spans="3:18">
      <c r="E22">
        <v>3</v>
      </c>
      <c r="F22" s="84">
        <v>6</v>
      </c>
      <c r="G22" t="s">
        <v>263</v>
      </c>
      <c r="H22" s="62">
        <v>1</v>
      </c>
      <c r="I22" s="62">
        <v>0</v>
      </c>
      <c r="K22">
        <v>4</v>
      </c>
      <c r="L22" s="84">
        <v>6</v>
      </c>
    </row>
    <row r="23" spans="3:18">
      <c r="E23">
        <v>6</v>
      </c>
      <c r="F23" s="84">
        <v>14</v>
      </c>
      <c r="H23" s="62">
        <v>0</v>
      </c>
      <c r="I23" s="62">
        <v>1</v>
      </c>
      <c r="K23">
        <v>6</v>
      </c>
      <c r="L23" s="84">
        <v>15</v>
      </c>
      <c r="P23" s="114">
        <f>Q17/P20</f>
        <v>2.3333333333333335</v>
      </c>
      <c r="Q23">
        <f>R17/P20</f>
        <v>-1</v>
      </c>
    </row>
    <row r="24" spans="3:18">
      <c r="O24" s="58" t="s">
        <v>105</v>
      </c>
      <c r="P24">
        <f>Q18/P20</f>
        <v>-1</v>
      </c>
      <c r="Q24">
        <f>R18/P20</f>
        <v>0.5</v>
      </c>
    </row>
    <row r="26" spans="3:18">
      <c r="D26" t="s">
        <v>116</v>
      </c>
      <c r="E26" t="s">
        <v>264</v>
      </c>
      <c r="F26" s="62">
        <f>K22*L23-K23*L22</f>
        <v>24</v>
      </c>
    </row>
    <row r="28" spans="3:18">
      <c r="H28">
        <v>15</v>
      </c>
      <c r="I28" s="84">
        <v>-6</v>
      </c>
      <c r="K28" s="62">
        <f>H28/F26</f>
        <v>0.625</v>
      </c>
      <c r="L28" s="62">
        <f>I28/24</f>
        <v>-0.25</v>
      </c>
    </row>
    <row r="29" spans="3:18">
      <c r="H29">
        <v>-6</v>
      </c>
      <c r="I29" s="84">
        <v>4</v>
      </c>
      <c r="K29" s="62">
        <f>H29/24</f>
        <v>-0.25</v>
      </c>
      <c r="L29" s="113">
        <f>I29/24</f>
        <v>0.16666666666666666</v>
      </c>
    </row>
    <row r="30" spans="3:18">
      <c r="I30" s="84"/>
      <c r="O30" s="114">
        <v>2.3332999999999999</v>
      </c>
      <c r="P30">
        <v>-1</v>
      </c>
      <c r="R30" s="62">
        <v>5</v>
      </c>
    </row>
    <row r="31" spans="3:18">
      <c r="N31" s="58"/>
      <c r="O31">
        <v>-1</v>
      </c>
      <c r="P31">
        <v>0.5</v>
      </c>
      <c r="Q31" t="s">
        <v>265</v>
      </c>
      <c r="R31" s="62">
        <v>11</v>
      </c>
    </row>
    <row r="32" spans="3:18">
      <c r="I32" s="62">
        <v>0.625</v>
      </c>
      <c r="J32" s="62">
        <v>-0.25</v>
      </c>
      <c r="K32" s="84">
        <v>5</v>
      </c>
    </row>
    <row r="33" spans="6:15">
      <c r="I33" s="62">
        <v>-0.25</v>
      </c>
      <c r="J33" s="113">
        <v>0.16669999999999999</v>
      </c>
      <c r="K33" s="84">
        <v>11</v>
      </c>
    </row>
    <row r="34" spans="6:15">
      <c r="O34" s="116">
        <f>O30*R30+P30*R31</f>
        <v>0.6664999999999992</v>
      </c>
    </row>
    <row r="35" spans="6:15">
      <c r="O35" s="117">
        <f>O31*R30+P31*R31</f>
        <v>0.5</v>
      </c>
    </row>
    <row r="36" spans="6:15">
      <c r="H36">
        <f>I32*K32+J32*K33</f>
        <v>0.375</v>
      </c>
    </row>
    <row r="37" spans="6:15">
      <c r="H37" s="115">
        <f>I33*K32+J33*K33</f>
        <v>0.58369999999999989</v>
      </c>
    </row>
    <row r="40" spans="6:15" ht="16.5">
      <c r="G40" s="107" t="s">
        <v>267</v>
      </c>
    </row>
    <row r="41" spans="6:15" ht="16.5">
      <c r="G41" s="107" t="s">
        <v>268</v>
      </c>
    </row>
    <row r="42" spans="6:15" ht="16.5">
      <c r="G42" s="107" t="s">
        <v>269</v>
      </c>
    </row>
    <row r="43" spans="6:15">
      <c r="G43" t="s">
        <v>270</v>
      </c>
    </row>
    <row r="47" spans="6:15">
      <c r="F47" t="s">
        <v>271</v>
      </c>
    </row>
    <row r="49" spans="6:7">
      <c r="F49" t="s">
        <v>103</v>
      </c>
      <c r="G49" t="s">
        <v>105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D14"/>
  <sheetViews>
    <sheetView topLeftCell="A10" workbookViewId="0">
      <selection activeCell="D29" sqref="D29"/>
    </sheetView>
  </sheetViews>
  <sheetFormatPr defaultRowHeight="14.5"/>
  <sheetData>
    <row r="3" spans="3:4">
      <c r="D3" s="1" t="s">
        <v>228</v>
      </c>
    </row>
    <row r="4" spans="3:4">
      <c r="C4">
        <v>1</v>
      </c>
      <c r="D4" s="1">
        <v>100</v>
      </c>
    </row>
    <row r="5" spans="3:4">
      <c r="C5">
        <v>2</v>
      </c>
      <c r="D5" s="1">
        <v>90</v>
      </c>
    </row>
    <row r="6" spans="3:4">
      <c r="C6">
        <v>3</v>
      </c>
      <c r="D6" s="1">
        <v>80</v>
      </c>
    </row>
    <row r="7" spans="3:4">
      <c r="C7">
        <v>4</v>
      </c>
      <c r="D7" s="1">
        <v>95</v>
      </c>
    </row>
    <row r="8" spans="3:4">
      <c r="C8">
        <v>5</v>
      </c>
      <c r="D8" s="1">
        <v>85</v>
      </c>
    </row>
    <row r="9" spans="3:4">
      <c r="C9">
        <v>6</v>
      </c>
      <c r="D9" s="89">
        <v>10</v>
      </c>
    </row>
    <row r="10" spans="3:4">
      <c r="C10">
        <v>7</v>
      </c>
      <c r="D10" s="1">
        <v>94</v>
      </c>
    </row>
    <row r="11" spans="3:4">
      <c r="C11">
        <v>8</v>
      </c>
      <c r="D11" s="1">
        <v>93</v>
      </c>
    </row>
    <row r="12" spans="3:4">
      <c r="C12">
        <v>9</v>
      </c>
      <c r="D12" s="1">
        <v>84</v>
      </c>
    </row>
    <row r="13" spans="3:4">
      <c r="C13">
        <v>10</v>
      </c>
      <c r="D13" s="89">
        <v>5</v>
      </c>
    </row>
    <row r="14" spans="3:4">
      <c r="C14">
        <v>11</v>
      </c>
      <c r="D14" s="104">
        <v>200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0"/>
  <sheetViews>
    <sheetView topLeftCell="A23" workbookViewId="0">
      <selection activeCell="C28" sqref="C28"/>
    </sheetView>
  </sheetViews>
  <sheetFormatPr defaultRowHeight="14.5"/>
  <sheetData>
    <row r="2" spans="1:14">
      <c r="A2" t="s">
        <v>240</v>
      </c>
      <c r="B2" t="s">
        <v>233</v>
      </c>
      <c r="C2" t="s">
        <v>229</v>
      </c>
      <c r="D2" t="s">
        <v>60</v>
      </c>
      <c r="E2" t="s">
        <v>230</v>
      </c>
      <c r="F2" t="s">
        <v>231</v>
      </c>
      <c r="G2" t="s">
        <v>241</v>
      </c>
    </row>
    <row r="3" spans="1:14">
      <c r="B3" t="s">
        <v>234</v>
      </c>
      <c r="C3">
        <v>5</v>
      </c>
      <c r="D3">
        <v>6</v>
      </c>
      <c r="E3" t="s">
        <v>232</v>
      </c>
      <c r="F3">
        <v>40</v>
      </c>
      <c r="G3" t="s">
        <v>242</v>
      </c>
      <c r="H3" t="s">
        <v>229</v>
      </c>
      <c r="J3" t="s">
        <v>60</v>
      </c>
      <c r="M3" t="s">
        <v>237</v>
      </c>
      <c r="N3" t="s">
        <v>238</v>
      </c>
    </row>
    <row r="4" spans="1:14">
      <c r="H4" s="1">
        <v>5</v>
      </c>
      <c r="J4" s="1">
        <v>6</v>
      </c>
      <c r="M4" t="s">
        <v>239</v>
      </c>
      <c r="N4" t="s">
        <v>239</v>
      </c>
    </row>
    <row r="5" spans="1:14">
      <c r="M5" t="s">
        <v>240</v>
      </c>
    </row>
    <row r="8" spans="1:14">
      <c r="M8" t="s">
        <v>230</v>
      </c>
      <c r="N8" t="s">
        <v>229</v>
      </c>
    </row>
    <row r="9" spans="1:14">
      <c r="C9" t="s">
        <v>235</v>
      </c>
      <c r="G9" t="s">
        <v>236</v>
      </c>
      <c r="M9" s="1" t="s">
        <v>232</v>
      </c>
      <c r="N9" s="105">
        <v>5</v>
      </c>
    </row>
    <row r="10" spans="1:14">
      <c r="N10" s="62"/>
    </row>
    <row r="11" spans="1:14">
      <c r="M11" t="s">
        <v>241</v>
      </c>
      <c r="N11" s="62" t="s">
        <v>60</v>
      </c>
    </row>
    <row r="12" spans="1:14">
      <c r="C12" s="41" t="s">
        <v>272</v>
      </c>
      <c r="M12" s="1" t="s">
        <v>243</v>
      </c>
      <c r="N12" s="105">
        <v>6</v>
      </c>
    </row>
    <row r="13" spans="1:14">
      <c r="N13" s="62" t="s">
        <v>231</v>
      </c>
    </row>
    <row r="14" spans="1:14">
      <c r="C14" t="s">
        <v>273</v>
      </c>
      <c r="D14" t="s">
        <v>274</v>
      </c>
      <c r="N14" s="105">
        <v>40</v>
      </c>
    </row>
    <row r="15" spans="1:14">
      <c r="D15" t="s">
        <v>105</v>
      </c>
      <c r="E15" t="s">
        <v>275</v>
      </c>
    </row>
    <row r="16" spans="1:14">
      <c r="D16" t="s">
        <v>262</v>
      </c>
      <c r="E16" t="s">
        <v>276</v>
      </c>
    </row>
    <row r="17" spans="3:14">
      <c r="D17" t="s">
        <v>277</v>
      </c>
      <c r="E17" t="s">
        <v>278</v>
      </c>
      <c r="J17" t="s">
        <v>279</v>
      </c>
    </row>
    <row r="18" spans="3:14">
      <c r="E18" s="84"/>
      <c r="F18" s="84"/>
      <c r="G18" s="84"/>
      <c r="H18" s="84"/>
      <c r="M18" t="s">
        <v>285</v>
      </c>
    </row>
    <row r="19" spans="3:14">
      <c r="C19" t="s">
        <v>280</v>
      </c>
      <c r="E19" s="84" t="s">
        <v>229</v>
      </c>
      <c r="F19" s="84" t="s">
        <v>60</v>
      </c>
      <c r="G19" s="84" t="s">
        <v>282</v>
      </c>
      <c r="H19" s="84"/>
      <c r="K19" t="s">
        <v>283</v>
      </c>
      <c r="M19" t="s">
        <v>283</v>
      </c>
      <c r="N19" t="s">
        <v>286</v>
      </c>
    </row>
    <row r="20" spans="3:14">
      <c r="C20" t="s">
        <v>281</v>
      </c>
      <c r="E20" s="84">
        <v>2</v>
      </c>
      <c r="F20" s="84">
        <v>4</v>
      </c>
      <c r="G20" s="84">
        <v>6</v>
      </c>
      <c r="H20" s="84"/>
      <c r="K20" t="s">
        <v>284</v>
      </c>
      <c r="M20" t="s">
        <v>287</v>
      </c>
      <c r="N20" t="s">
        <v>286</v>
      </c>
    </row>
    <row r="24" spans="3:14">
      <c r="D24" t="s">
        <v>237</v>
      </c>
      <c r="E24" t="s">
        <v>288</v>
      </c>
      <c r="G24" t="s">
        <v>295</v>
      </c>
      <c r="H24" t="s">
        <v>296</v>
      </c>
    </row>
    <row r="25" spans="3:14">
      <c r="D25" t="s">
        <v>289</v>
      </c>
      <c r="G25" t="s">
        <v>297</v>
      </c>
    </row>
    <row r="26" spans="3:14">
      <c r="C26" t="s">
        <v>292</v>
      </c>
      <c r="D26" t="s">
        <v>291</v>
      </c>
      <c r="G26" t="s">
        <v>298</v>
      </c>
    </row>
    <row r="27" spans="3:14">
      <c r="C27" t="s">
        <v>293</v>
      </c>
      <c r="D27">
        <v>12</v>
      </c>
    </row>
    <row r="28" spans="3:14">
      <c r="C28" t="s">
        <v>294</v>
      </c>
      <c r="H28" t="s">
        <v>300</v>
      </c>
    </row>
    <row r="29" spans="3:14" ht="12.5" customHeight="1">
      <c r="D29" t="s">
        <v>290</v>
      </c>
    </row>
    <row r="30" spans="3:14">
      <c r="E30" t="b">
        <v>0</v>
      </c>
      <c r="H30" t="s">
        <v>299</v>
      </c>
      <c r="L30" t="b">
        <v>1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24"/>
  <sheetViews>
    <sheetView topLeftCell="A2" workbookViewId="0">
      <selection activeCell="A14" sqref="A14"/>
    </sheetView>
  </sheetViews>
  <sheetFormatPr defaultRowHeight="14.5"/>
  <cols>
    <col min="5" max="5" width="9.54296875" bestFit="1" customWidth="1"/>
  </cols>
  <sheetData>
    <row r="2" spans="1:15">
      <c r="E2" s="41" t="s">
        <v>217</v>
      </c>
    </row>
    <row r="3" spans="1:15">
      <c r="B3" t="s">
        <v>218</v>
      </c>
      <c r="C3" s="101" t="s">
        <v>213</v>
      </c>
      <c r="D3" s="101"/>
      <c r="F3" s="101" t="s">
        <v>215</v>
      </c>
      <c r="G3" s="101"/>
      <c r="I3" s="101" t="s">
        <v>216</v>
      </c>
      <c r="J3" s="101"/>
      <c r="L3" s="101" t="s">
        <v>216</v>
      </c>
      <c r="M3" s="101"/>
    </row>
    <row r="4" spans="1:15">
      <c r="C4" t="s">
        <v>211</v>
      </c>
      <c r="D4" t="s">
        <v>212</v>
      </c>
      <c r="F4" t="s">
        <v>211</v>
      </c>
      <c r="G4" t="s">
        <v>212</v>
      </c>
      <c r="I4" t="s">
        <v>211</v>
      </c>
      <c r="J4" t="s">
        <v>212</v>
      </c>
      <c r="L4" t="s">
        <v>211</v>
      </c>
      <c r="M4" t="s">
        <v>212</v>
      </c>
    </row>
    <row r="5" spans="1:15">
      <c r="C5" s="1" t="s">
        <v>220</v>
      </c>
      <c r="D5" s="1">
        <v>20000</v>
      </c>
      <c r="F5" s="1" t="s">
        <v>221</v>
      </c>
      <c r="G5" s="1">
        <v>25000</v>
      </c>
      <c r="I5" s="1" t="s">
        <v>222</v>
      </c>
      <c r="J5" s="1">
        <v>40000</v>
      </c>
      <c r="L5" s="1" t="s">
        <v>220</v>
      </c>
      <c r="M5" s="1" t="s">
        <v>214</v>
      </c>
    </row>
    <row r="6" spans="1:15">
      <c r="B6" t="s">
        <v>223</v>
      </c>
      <c r="C6">
        <v>10000</v>
      </c>
      <c r="F6">
        <v>20000</v>
      </c>
      <c r="I6">
        <v>30000</v>
      </c>
      <c r="L6">
        <v>40000</v>
      </c>
    </row>
    <row r="7" spans="1:15">
      <c r="N7" t="s">
        <v>219</v>
      </c>
    </row>
    <row r="10" spans="1:15">
      <c r="E10" s="1"/>
      <c r="F10" s="1">
        <v>30000</v>
      </c>
    </row>
    <row r="11" spans="1:15">
      <c r="E11">
        <v>25000</v>
      </c>
      <c r="O11" t="s">
        <v>224</v>
      </c>
    </row>
    <row r="12" spans="1:15">
      <c r="A12" t="s">
        <v>226</v>
      </c>
      <c r="M12">
        <v>100</v>
      </c>
    </row>
    <row r="13" spans="1:15">
      <c r="A13" t="s">
        <v>227</v>
      </c>
      <c r="O13" t="s">
        <v>225</v>
      </c>
    </row>
    <row r="19" spans="9:15">
      <c r="K19">
        <v>80</v>
      </c>
      <c r="N19">
        <v>150</v>
      </c>
    </row>
    <row r="21" spans="9:15">
      <c r="L21">
        <v>110</v>
      </c>
    </row>
    <row r="22" spans="9:15">
      <c r="O22">
        <v>160</v>
      </c>
    </row>
    <row r="24" spans="9:15">
      <c r="I24">
        <v>60</v>
      </c>
      <c r="K24">
        <v>90</v>
      </c>
    </row>
  </sheetData>
  <mergeCells count="4">
    <mergeCell ref="C3:D3"/>
    <mergeCell ref="F3:G3"/>
    <mergeCell ref="I3:J3"/>
    <mergeCell ref="L3:M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IQR</vt:lpstr>
      <vt:lpstr>StandardScaler</vt:lpstr>
      <vt:lpstr>MinMaxScaler</vt:lpstr>
      <vt:lpstr>RobustScaler</vt:lpstr>
      <vt:lpstr>Comparisions</vt:lpstr>
      <vt:lpstr>Z-Scores</vt:lpstr>
      <vt:lpstr>Linear Regression</vt:lpstr>
      <vt:lpstr>MSE_R2_Explanation</vt:lpstr>
      <vt:lpstr>MSE_R2</vt:lpstr>
      <vt:lpstr>Multiple Linear Regression</vt:lpstr>
      <vt:lpstr>Polynomial Regression</vt:lpstr>
      <vt:lpstr>Degree of polynomial</vt:lpstr>
      <vt:lpstr>Ridge Regression</vt:lpstr>
      <vt:lpstr>Ridge Regression Numerical</vt:lpstr>
      <vt:lpstr>Outliers</vt:lpstr>
      <vt:lpstr>Variables</vt:lpstr>
      <vt:lpstr>Daatstructures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2025-10-05T02:58:26Z</dcterms:created>
  <dcterms:modified xsi:type="dcterms:W3CDTF">2026-01-11T11:04:17Z</dcterms:modified>
</cp:coreProperties>
</file>